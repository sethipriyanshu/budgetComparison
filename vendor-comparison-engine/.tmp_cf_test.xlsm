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5" windowWidth="29040" windowHeight="15720" tabRatio="600" firstSheet="0" activeTab="0" autoFilterDateGrouping="1"/>
  </bookViews>
  <sheets>
    <sheet name="Customer" sheetId="1" state="visible" r:id="rId1"/>
    <sheet name="Vendor1" sheetId="2" state="visible" r:id="rId2"/>
    <sheet name="Vendor2" sheetId="3" state="visible" r:id="rId3"/>
    <sheet name="Comparison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9">
    <font>
      <name val="Arial"/>
      <family val="2"/>
      <color theme="1"/>
      <sz val="10"/>
    </font>
    <font>
      <name val="Arial"/>
      <family val="2"/>
      <color theme="1"/>
      <sz val="10"/>
    </font>
    <font>
      <name val="Arial"/>
      <family val="2"/>
      <b val="1"/>
      <color theme="1"/>
      <sz val="10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color theme="1"/>
      <sz val="18"/>
    </font>
    <font>
      <name val="Arial"/>
      <family val="2"/>
      <b val="1"/>
      <color rgb="FFFFFFFF"/>
      <sz val="10"/>
    </font>
    <font>
      <name val="Arial"/>
      <family val="2"/>
      <color rgb="FF0000FF"/>
      <sz val="10"/>
    </font>
    <font>
      <name val="Arial"/>
      <family val="2"/>
      <b val="1"/>
      <color rgb="FF0000FF"/>
      <sz val="10"/>
    </font>
  </fonts>
  <fills count="5">
    <fill>
      <patternFill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1" fillId="0" borderId="0"/>
    <xf numFmtId="0" fontId="3" fillId="0" borderId="0"/>
    <xf numFmtId="0" fontId="1" fillId="0" borderId="0"/>
    <xf numFmtId="0" fontId="1" fillId="0" borderId="0"/>
  </cellStyleXfs>
  <cellXfs count="16">
    <xf numFmtId="0" fontId="0" fillId="0" borderId="0" pivotButton="0" quotePrefix="0" xfId="0"/>
    <xf numFmtId="0" fontId="6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7" fillId="0" borderId="1" pivotButton="0" quotePrefix="0" xfId="0"/>
    <xf numFmtId="0" fontId="0" fillId="4" borderId="1" pivotButton="0" quotePrefix="0" xfId="0"/>
    <xf numFmtId="0" fontId="8" fillId="4" borderId="1" pivotButton="0" quotePrefix="0" xfId="0"/>
    <xf numFmtId="0" fontId="0" fillId="3" borderId="1" pivotButton="0" quotePrefix="0" xfId="0"/>
    <xf numFmtId="0" fontId="5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</cellXfs>
  <cellStyles count="4">
    <cellStyle name="Normal" xfId="0" builtinId="0"/>
    <cellStyle name="Standard_Boden1" xfId="1"/>
    <cellStyle name="Standard 2 2" xfId="2"/>
    <cellStyle name="Normal 4" xfId="3"/>
  </cellStyles>
  <dxfs count="54"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4:H100"/>
  <sheetViews>
    <sheetView tabSelected="1" zoomScale="75" zoomScaleNormal="190" workbookViewId="0">
      <selection activeCell="J31" sqref="J31"/>
    </sheetView>
  </sheetViews>
  <sheetFormatPr baseColWidth="8" defaultColWidth="15.7109375" defaultRowHeight="12.75"/>
  <cols>
    <col width="9.5703125" bestFit="1" customWidth="1" min="1" max="1"/>
    <col width="6.7109375" bestFit="1" customWidth="1" min="2" max="2"/>
    <col width="10.85546875" customWidth="1" min="3" max="3"/>
    <col width="7.28515625" customWidth="1" min="4" max="4"/>
    <col width="8.85546875" customWidth="1" min="5" max="5"/>
    <col width="7.42578125" customWidth="1" min="6" max="6"/>
    <col width="10.85546875" bestFit="1" customWidth="1" min="7" max="7"/>
    <col width="10.7109375" customWidth="1" min="8" max="8"/>
  </cols>
  <sheetData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Qty.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 t="n"/>
      <c r="B5" s="2" t="n"/>
      <c r="C5" s="2" t="n"/>
      <c r="D5" s="2" t="n"/>
      <c r="E5" s="2" t="n"/>
      <c r="F5" s="2" t="n"/>
      <c r="G5" s="2" t="n"/>
      <c r="H5" s="2" t="n"/>
    </row>
    <row r="6">
      <c r="A6" s="2" t="n"/>
      <c r="B6" s="2" t="n"/>
      <c r="C6" s="2" t="n"/>
      <c r="D6" s="2" t="n"/>
      <c r="E6" s="2" t="n"/>
      <c r="F6" s="2" t="n"/>
      <c r="G6" s="2" t="n"/>
      <c r="H6" s="2" t="n"/>
    </row>
    <row r="7">
      <c r="A7" s="2" t="n"/>
      <c r="B7" s="2" t="n"/>
      <c r="C7" s="2" t="n"/>
      <c r="D7" s="2" t="n"/>
      <c r="E7" s="2" t="n"/>
      <c r="F7" s="2" t="n"/>
      <c r="G7" s="2" t="n"/>
      <c r="H7" s="2" t="n"/>
    </row>
    <row r="8">
      <c r="A8" s="2" t="n"/>
      <c r="B8" s="2" t="n"/>
      <c r="C8" s="2" t="n"/>
      <c r="D8" s="2" t="n"/>
      <c r="E8" s="2" t="n"/>
      <c r="F8" s="2" t="n"/>
      <c r="G8" s="2" t="n"/>
      <c r="H8" s="2" t="n"/>
    </row>
    <row r="9">
      <c r="A9" s="2" t="n"/>
      <c r="B9" s="2" t="n"/>
      <c r="C9" s="2" t="n"/>
      <c r="D9" s="2" t="n"/>
      <c r="E9" s="2" t="n"/>
      <c r="F9" s="2" t="n"/>
      <c r="G9" s="2" t="n"/>
      <c r="H9" s="2" t="n"/>
    </row>
    <row r="10">
      <c r="A10" s="2" t="n"/>
      <c r="B10" s="2" t="n"/>
      <c r="C10" s="2" t="n"/>
      <c r="D10" s="2" t="n"/>
      <c r="E10" s="2" t="n"/>
      <c r="F10" s="2" t="n"/>
      <c r="G10" s="2" t="n"/>
      <c r="H10" s="2" t="n"/>
    </row>
    <row r="11">
      <c r="A11" s="2" t="n"/>
      <c r="B11" s="2" t="n"/>
      <c r="C11" s="2" t="n"/>
      <c r="D11" s="2" t="n"/>
      <c r="E11" s="2" t="n"/>
      <c r="F11" s="2" t="n"/>
      <c r="G11" s="2" t="n"/>
      <c r="H11" s="2" t="n"/>
    </row>
    <row r="12">
      <c r="A12" s="2" t="n"/>
      <c r="B12" s="2" t="n"/>
      <c r="C12" s="2" t="n"/>
      <c r="D12" s="2" t="n"/>
      <c r="E12" s="2" t="n"/>
      <c r="F12" s="2" t="n"/>
      <c r="G12" s="2" t="n"/>
      <c r="H12" s="2" t="n"/>
    </row>
    <row r="13">
      <c r="A13" s="2" t="n"/>
      <c r="B13" s="2" t="n"/>
      <c r="C13" s="2" t="n"/>
      <c r="D13" s="2" t="n"/>
      <c r="E13" s="2" t="n"/>
      <c r="F13" s="2" t="n"/>
      <c r="G13" s="2" t="n"/>
      <c r="H13" s="2" t="n"/>
    </row>
    <row r="14">
      <c r="A14" s="2" t="n"/>
      <c r="B14" s="2" t="n"/>
      <c r="C14" s="2" t="n"/>
      <c r="D14" s="2" t="n"/>
      <c r="E14" s="2" t="n"/>
      <c r="F14" s="2" t="n"/>
      <c r="G14" s="2" t="n"/>
      <c r="H14" s="2" t="n"/>
    </row>
    <row r="15">
      <c r="A15" s="2" t="n"/>
      <c r="B15" s="2" t="n"/>
      <c r="C15" s="2" t="n"/>
      <c r="D15" s="2" t="n"/>
      <c r="E15" s="2" t="n"/>
      <c r="F15" s="2" t="n"/>
      <c r="G15" s="2" t="n"/>
      <c r="H15" s="2" t="n"/>
    </row>
    <row r="16">
      <c r="A16" s="2" t="n"/>
      <c r="B16" s="2" t="n"/>
      <c r="C16" s="2" t="n"/>
      <c r="D16" s="2" t="n"/>
      <c r="E16" s="2" t="n"/>
      <c r="F16" s="2" t="n"/>
      <c r="G16" s="2" t="n"/>
      <c r="H16" s="2" t="n"/>
    </row>
    <row r="17">
      <c r="A17" s="2" t="n"/>
      <c r="B17" s="2" t="n"/>
      <c r="C17" s="2" t="n"/>
      <c r="D17" s="2" t="n"/>
      <c r="E17" s="2" t="n"/>
      <c r="F17" s="2" t="n"/>
      <c r="G17" s="2" t="n"/>
      <c r="H17" s="2" t="n"/>
    </row>
    <row r="18">
      <c r="A18" s="2" t="n"/>
      <c r="B18" s="2" t="n"/>
      <c r="C18" s="2" t="n"/>
      <c r="D18" s="2" t="n"/>
      <c r="E18" s="2" t="n"/>
      <c r="F18" s="2" t="n"/>
      <c r="G18" s="2" t="n"/>
      <c r="H18" s="2" t="n"/>
    </row>
    <row r="19">
      <c r="A19" s="2" t="n"/>
      <c r="B19" s="2" t="n"/>
      <c r="C19" s="2" t="n"/>
      <c r="D19" s="2" t="n"/>
      <c r="E19" s="2" t="n"/>
      <c r="F19" s="2" t="n"/>
      <c r="G19" s="2" t="n"/>
      <c r="H19" s="2" t="n"/>
    </row>
    <row r="20">
      <c r="A20" s="2" t="n"/>
      <c r="B20" s="2" t="n"/>
      <c r="C20" s="2" t="n"/>
      <c r="D20" s="2" t="n"/>
      <c r="E20" s="2" t="n"/>
      <c r="F20" s="2" t="n"/>
      <c r="G20" s="2" t="n"/>
      <c r="H20" s="2" t="n"/>
    </row>
    <row r="21">
      <c r="A21" s="2" t="n"/>
      <c r="B21" s="2" t="n"/>
      <c r="C21" s="2" t="n"/>
      <c r="D21" s="2" t="n"/>
      <c r="E21" s="2" t="n"/>
      <c r="F21" s="2" t="n"/>
      <c r="G21" s="2" t="n"/>
      <c r="H21" s="2" t="n"/>
    </row>
    <row r="22">
      <c r="A22" s="2" t="n"/>
      <c r="B22" s="2" t="n"/>
      <c r="C22" s="2" t="n"/>
      <c r="D22" s="2" t="n"/>
      <c r="E22" s="2" t="n"/>
      <c r="F22" s="2" t="n"/>
      <c r="G22" s="2" t="n"/>
      <c r="H22" s="2" t="n"/>
    </row>
    <row r="23">
      <c r="A23" s="2" t="n"/>
      <c r="B23" s="2" t="n"/>
      <c r="C23" s="2" t="n"/>
      <c r="D23" s="2" t="n"/>
      <c r="E23" s="2" t="n"/>
      <c r="F23" s="2" t="n"/>
      <c r="G23" s="2" t="n"/>
      <c r="H23" s="2" t="n"/>
    </row>
    <row r="24">
      <c r="A24" s="2" t="n"/>
      <c r="B24" s="2" t="n"/>
      <c r="C24" s="2" t="n"/>
      <c r="D24" s="2" t="n"/>
      <c r="E24" s="2" t="n"/>
      <c r="F24" s="2" t="n"/>
      <c r="G24" s="2" t="n"/>
      <c r="H24" s="2" t="n"/>
    </row>
    <row r="25">
      <c r="A25" s="2" t="n"/>
      <c r="B25" s="2" t="n"/>
      <c r="C25" s="2" t="n"/>
      <c r="D25" s="2" t="n"/>
      <c r="E25" s="2" t="n"/>
      <c r="F25" s="2" t="n"/>
      <c r="G25" s="2" t="n"/>
      <c r="H25" s="2" t="n"/>
    </row>
    <row r="26">
      <c r="A26" s="2" t="n"/>
      <c r="B26" s="2" t="n"/>
      <c r="C26" s="2" t="n"/>
      <c r="D26" s="2" t="n"/>
      <c r="E26" s="2" t="n"/>
      <c r="F26" s="2" t="n"/>
      <c r="G26" s="2" t="n"/>
      <c r="H26" s="2" t="n"/>
    </row>
    <row r="27">
      <c r="A27" s="2" t="n"/>
      <c r="B27" s="2" t="n"/>
      <c r="C27" s="2" t="n"/>
      <c r="D27" s="2" t="n"/>
      <c r="E27" s="2" t="n"/>
      <c r="F27" s="2" t="n"/>
      <c r="G27" s="2" t="n"/>
      <c r="H27" s="2" t="n"/>
    </row>
    <row r="28">
      <c r="A28" s="2" t="n"/>
      <c r="B28" s="2" t="n"/>
      <c r="C28" s="2" t="n"/>
      <c r="D28" s="2" t="n"/>
      <c r="E28" s="2" t="n"/>
      <c r="F28" s="2" t="n"/>
      <c r="G28" s="2" t="n"/>
      <c r="H28" s="2" t="n"/>
    </row>
    <row r="29">
      <c r="A29" s="2" t="n"/>
      <c r="B29" s="2" t="n"/>
      <c r="C29" s="2" t="n"/>
      <c r="D29" s="2" t="n"/>
      <c r="E29" s="2" t="n"/>
      <c r="F29" s="2" t="n"/>
      <c r="G29" s="2" t="n"/>
      <c r="H29" s="2" t="n"/>
    </row>
    <row r="30">
      <c r="A30" s="2" t="n"/>
      <c r="B30" s="2" t="n"/>
      <c r="C30" s="2" t="n"/>
      <c r="D30" s="2" t="n"/>
      <c r="E30" s="2" t="n"/>
      <c r="F30" s="2" t="n"/>
      <c r="G30" s="2" t="n"/>
      <c r="H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</row>
    <row r="32">
      <c r="A32" s="2" t="n"/>
      <c r="B32" s="2" t="n"/>
      <c r="C32" s="2" t="n"/>
      <c r="D32" s="2" t="n"/>
      <c r="E32" s="2" t="n"/>
      <c r="F32" s="2" t="n"/>
      <c r="G32" s="2" t="n"/>
      <c r="H32" s="2" t="n"/>
    </row>
    <row r="33">
      <c r="A33" s="2" t="n"/>
      <c r="B33" s="2" t="n"/>
      <c r="C33" s="2" t="n"/>
      <c r="D33" s="2" t="n"/>
      <c r="E33" s="2" t="n"/>
      <c r="F33" s="2" t="n"/>
      <c r="G33" s="2" t="n"/>
      <c r="H33" s="2" t="n"/>
    </row>
    <row r="34">
      <c r="A34" s="2" t="n"/>
      <c r="B34" s="2" t="n"/>
      <c r="C34" s="2" t="n"/>
      <c r="D34" s="2" t="n"/>
      <c r="E34" s="2" t="n"/>
      <c r="F34" s="2" t="n"/>
      <c r="G34" s="2" t="n"/>
      <c r="H34" s="2" t="n"/>
    </row>
    <row r="35">
      <c r="A35" s="2" t="n"/>
      <c r="B35" s="2" t="n"/>
      <c r="C35" s="2" t="n"/>
      <c r="D35" s="2" t="n"/>
      <c r="E35" s="2" t="n"/>
      <c r="F35" s="2" t="n"/>
      <c r="G35" s="2" t="n"/>
      <c r="H35" s="2" t="n"/>
    </row>
    <row r="36">
      <c r="A36" s="2" t="n"/>
      <c r="B36" s="2" t="n"/>
      <c r="C36" s="2" t="n"/>
      <c r="D36" s="2" t="n"/>
      <c r="E36" s="2" t="n"/>
      <c r="F36" s="2" t="n"/>
      <c r="G36" s="2" t="n"/>
      <c r="H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</row>
    <row r="38">
      <c r="A38" s="2" t="n"/>
      <c r="B38" s="2" t="n"/>
      <c r="C38" s="2" t="n"/>
      <c r="D38" s="2" t="n"/>
      <c r="E38" s="2" t="n"/>
      <c r="F38" s="2" t="n"/>
      <c r="G38" s="2" t="n"/>
      <c r="H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</row>
    <row r="40" hidden="1">
      <c r="A40" s="2" t="n"/>
      <c r="B40" s="2" t="n"/>
      <c r="C40" s="2" t="n"/>
      <c r="D40" s="2" t="n"/>
      <c r="E40" s="2" t="n"/>
      <c r="F40" s="2" t="n"/>
      <c r="G40" s="2" t="n"/>
      <c r="H40" s="2" t="n"/>
    </row>
    <row r="41" hidden="1">
      <c r="A41" s="2" t="n"/>
      <c r="B41" s="2" t="n"/>
      <c r="C41" s="2" t="n"/>
      <c r="D41" s="2" t="n"/>
      <c r="E41" s="2" t="n"/>
      <c r="F41" s="2" t="n"/>
      <c r="G41" s="2" t="n"/>
      <c r="H41" s="2" t="n"/>
    </row>
    <row r="42" hidden="1">
      <c r="A42" s="2" t="n"/>
      <c r="B42" s="2" t="n"/>
      <c r="C42" s="2" t="n"/>
      <c r="D42" s="2" t="n"/>
      <c r="E42" s="2" t="n"/>
      <c r="F42" s="2" t="n"/>
      <c r="G42" s="2" t="n"/>
      <c r="H42" s="2" t="n"/>
    </row>
    <row r="43" hidden="1">
      <c r="A43" s="2" t="n"/>
      <c r="B43" s="2" t="n"/>
      <c r="C43" s="2" t="n"/>
      <c r="D43" s="2" t="n"/>
      <c r="E43" s="2" t="n"/>
      <c r="F43" s="2" t="n"/>
      <c r="G43" s="2" t="n"/>
      <c r="H43" s="2" t="n"/>
    </row>
    <row r="44" hidden="1">
      <c r="A44" s="2" t="n"/>
      <c r="B44" s="2" t="n"/>
      <c r="C44" s="2" t="n"/>
      <c r="D44" s="2" t="n"/>
      <c r="E44" s="2" t="n"/>
      <c r="F44" s="2" t="n"/>
      <c r="G44" s="2" t="n"/>
      <c r="H44" s="2" t="n"/>
    </row>
    <row r="45" hidden="1">
      <c r="A45" s="2" t="n"/>
      <c r="B45" s="2" t="n"/>
      <c r="C45" s="2" t="n"/>
      <c r="D45" s="2" t="n"/>
      <c r="E45" s="2" t="n"/>
      <c r="F45" s="2" t="n"/>
      <c r="G45" s="2" t="n"/>
      <c r="H45" s="2" t="n"/>
    </row>
    <row r="46" hidden="1">
      <c r="A46" s="2" t="n"/>
      <c r="B46" s="2" t="n"/>
      <c r="C46" s="2" t="n"/>
      <c r="D46" s="2" t="n"/>
      <c r="E46" s="2" t="n"/>
      <c r="F46" s="2" t="n"/>
      <c r="G46" s="2" t="n"/>
      <c r="H46" s="2" t="n"/>
    </row>
    <row r="47" hidden="1">
      <c r="A47" s="2" t="n"/>
      <c r="B47" s="2" t="n"/>
      <c r="C47" s="2" t="n"/>
      <c r="D47" s="2" t="n"/>
      <c r="E47" s="2" t="n"/>
      <c r="F47" s="2" t="n"/>
      <c r="G47" s="2" t="n"/>
      <c r="H47" s="2" t="n"/>
    </row>
    <row r="48" hidden="1">
      <c r="A48" s="2" t="n"/>
      <c r="B48" s="2" t="n"/>
      <c r="C48" s="2" t="n"/>
      <c r="D48" s="2" t="n"/>
      <c r="E48" s="2" t="n"/>
      <c r="F48" s="2" t="n"/>
      <c r="G48" s="2" t="n"/>
      <c r="H48" s="2" t="n"/>
    </row>
    <row r="49" hidden="1">
      <c r="A49" s="2" t="n"/>
      <c r="B49" s="2" t="n"/>
      <c r="C49" s="2" t="n"/>
      <c r="D49" s="2" t="n"/>
      <c r="E49" s="2" t="n"/>
      <c r="F49" s="2" t="n"/>
      <c r="G49" s="2" t="n"/>
      <c r="H49" s="2" t="n"/>
    </row>
    <row r="50" hidden="1">
      <c r="A50" s="2" t="n"/>
      <c r="B50" s="2" t="n"/>
      <c r="C50" s="2" t="n"/>
      <c r="D50" s="2" t="n"/>
      <c r="E50" s="2" t="n"/>
      <c r="F50" s="2" t="n"/>
      <c r="G50" s="2" t="n"/>
      <c r="H50" s="2" t="n"/>
    </row>
    <row r="51" hidden="1">
      <c r="A51" s="2" t="n"/>
      <c r="B51" s="2" t="n"/>
      <c r="C51" s="2" t="n"/>
      <c r="D51" s="2" t="n"/>
      <c r="E51" s="2" t="n"/>
      <c r="F51" s="2" t="n"/>
      <c r="G51" s="2" t="n"/>
      <c r="H51" s="2" t="n"/>
    </row>
    <row r="52" hidden="1">
      <c r="A52" s="2" t="n"/>
      <c r="B52" s="2" t="n"/>
      <c r="C52" s="2" t="n"/>
      <c r="D52" s="2" t="n"/>
      <c r="E52" s="2" t="n"/>
      <c r="F52" s="2" t="n"/>
      <c r="G52" s="2" t="n"/>
      <c r="H52" s="2" t="n"/>
    </row>
    <row r="53" hidden="1">
      <c r="A53" s="2" t="n"/>
      <c r="B53" s="2" t="n"/>
      <c r="C53" s="2" t="n"/>
      <c r="D53" s="2" t="n"/>
      <c r="E53" s="2" t="n"/>
      <c r="F53" s="2" t="n"/>
      <c r="G53" s="2" t="n"/>
      <c r="H53" s="2" t="n"/>
    </row>
    <row r="54" hidden="1">
      <c r="A54" s="2" t="n"/>
      <c r="B54" s="2" t="n"/>
      <c r="C54" s="2" t="n"/>
      <c r="D54" s="2" t="n"/>
      <c r="E54" s="2" t="n"/>
      <c r="F54" s="2" t="n"/>
      <c r="G54" s="2" t="n"/>
      <c r="H54" s="2" t="n"/>
    </row>
    <row r="55" hidden="1">
      <c r="A55" s="2" t="n"/>
      <c r="B55" s="2" t="n"/>
      <c r="C55" s="2" t="n"/>
      <c r="D55" s="2" t="n"/>
      <c r="E55" s="2" t="n"/>
      <c r="F55" s="2" t="n"/>
      <c r="G55" s="2" t="n"/>
      <c r="H55" s="2" t="n"/>
    </row>
    <row r="56" hidden="1">
      <c r="A56" s="2" t="n"/>
      <c r="B56" s="2" t="n"/>
      <c r="C56" s="2" t="n"/>
      <c r="D56" s="2" t="n"/>
      <c r="E56" s="2" t="n"/>
      <c r="F56" s="2" t="n"/>
      <c r="G56" s="2" t="n"/>
      <c r="H56" s="2" t="n"/>
    </row>
    <row r="57" hidden="1">
      <c r="A57" s="2" t="n"/>
      <c r="B57" s="2" t="n"/>
      <c r="C57" s="2" t="n"/>
      <c r="D57" s="2" t="n"/>
      <c r="E57" s="2" t="n"/>
      <c r="F57" s="2" t="n"/>
      <c r="G57" s="2" t="n"/>
      <c r="H57" s="2" t="n"/>
    </row>
    <row r="58" hidden="1">
      <c r="A58" s="2" t="n"/>
      <c r="B58" s="2" t="n"/>
      <c r="C58" s="2" t="n"/>
      <c r="D58" s="2" t="n"/>
      <c r="E58" s="2" t="n"/>
      <c r="F58" s="2" t="n"/>
      <c r="G58" s="2" t="n"/>
      <c r="H58" s="2" t="n"/>
    </row>
    <row r="59" hidden="1">
      <c r="A59" s="2" t="n"/>
      <c r="B59" s="2" t="n"/>
      <c r="C59" s="2" t="n"/>
      <c r="D59" s="2" t="n"/>
      <c r="E59" s="2" t="n"/>
      <c r="F59" s="2" t="n"/>
      <c r="G59" s="2" t="n"/>
      <c r="H59" s="2" t="n"/>
    </row>
    <row r="60" hidden="1">
      <c r="A60" s="2" t="n"/>
      <c r="B60" s="2" t="n"/>
      <c r="C60" s="2" t="n"/>
      <c r="D60" s="2" t="n"/>
      <c r="E60" s="2" t="n"/>
      <c r="F60" s="2" t="n"/>
      <c r="G60" s="2" t="n"/>
      <c r="H60" s="2" t="n"/>
    </row>
    <row r="61" hidden="1">
      <c r="A61" s="2" t="n"/>
      <c r="B61" s="2" t="n"/>
      <c r="C61" s="2" t="n"/>
      <c r="D61" s="2" t="n"/>
      <c r="E61" s="2" t="n"/>
      <c r="F61" s="2" t="n"/>
      <c r="G61" s="2" t="n"/>
      <c r="H61" s="2" t="n"/>
    </row>
    <row r="62" hidden="1">
      <c r="A62" s="2" t="n"/>
      <c r="B62" s="2" t="n"/>
      <c r="C62" s="2" t="n"/>
      <c r="D62" s="2" t="n"/>
      <c r="E62" s="2" t="n"/>
      <c r="F62" s="2" t="n"/>
      <c r="G62" s="2" t="n"/>
      <c r="H62" s="2" t="n"/>
    </row>
    <row r="63" hidden="1">
      <c r="A63" s="2" t="n"/>
      <c r="B63" s="2" t="n"/>
      <c r="C63" s="2" t="n"/>
      <c r="D63" s="2" t="n"/>
      <c r="E63" s="2" t="n"/>
      <c r="F63" s="2" t="n"/>
      <c r="G63" s="2" t="n"/>
      <c r="H63" s="2" t="n"/>
    </row>
    <row r="64" hidden="1">
      <c r="A64" s="2" t="n"/>
      <c r="B64" s="2" t="n"/>
      <c r="C64" s="2" t="n"/>
      <c r="D64" s="2" t="n"/>
      <c r="E64" s="2" t="n"/>
      <c r="F64" s="2" t="n"/>
      <c r="G64" s="2" t="n"/>
      <c r="H64" s="2" t="n"/>
    </row>
    <row r="65" hidden="1">
      <c r="A65" s="2" t="n"/>
      <c r="B65" s="2" t="n"/>
      <c r="C65" s="2" t="n"/>
      <c r="D65" s="2" t="n"/>
      <c r="E65" s="2" t="n"/>
      <c r="F65" s="2" t="n"/>
      <c r="G65" s="2" t="n"/>
      <c r="H65" s="2" t="n"/>
    </row>
    <row r="66" hidden="1">
      <c r="A66" s="2" t="n"/>
      <c r="B66" s="2" t="n"/>
      <c r="C66" s="2" t="n"/>
      <c r="D66" s="2" t="n"/>
      <c r="E66" s="2" t="n"/>
      <c r="F66" s="2" t="n"/>
      <c r="G66" s="2" t="n"/>
      <c r="H66" s="2" t="n"/>
    </row>
    <row r="67" hidden="1">
      <c r="A67" s="2" t="n"/>
      <c r="B67" s="2" t="n"/>
      <c r="C67" s="2" t="n"/>
      <c r="D67" s="2" t="n"/>
      <c r="E67" s="2" t="n"/>
      <c r="F67" s="2" t="n"/>
      <c r="G67" s="2" t="n"/>
      <c r="H67" s="2" t="n"/>
    </row>
    <row r="68" hidden="1">
      <c r="A68" s="2" t="n"/>
      <c r="B68" s="2" t="n"/>
      <c r="C68" s="2" t="n"/>
      <c r="D68" s="2" t="n"/>
      <c r="E68" s="2" t="n"/>
      <c r="F68" s="2" t="n"/>
      <c r="G68" s="2" t="n"/>
      <c r="H68" s="2" t="n"/>
    </row>
    <row r="69" hidden="1">
      <c r="A69" s="2" t="n"/>
      <c r="B69" s="2" t="n"/>
      <c r="C69" s="2" t="n"/>
      <c r="D69" s="2" t="n"/>
      <c r="E69" s="2" t="n"/>
      <c r="F69" s="2" t="n"/>
      <c r="G69" s="2" t="n"/>
      <c r="H69" s="2" t="n"/>
    </row>
    <row r="70" hidden="1">
      <c r="A70" s="2" t="n"/>
      <c r="B70" s="2" t="n"/>
      <c r="C70" s="2" t="n"/>
      <c r="D70" s="2" t="n"/>
      <c r="E70" s="2" t="n"/>
      <c r="F70" s="2" t="n"/>
      <c r="G70" s="2" t="n"/>
      <c r="H70" s="2" t="n"/>
    </row>
    <row r="71" hidden="1">
      <c r="A71" s="2" t="n"/>
      <c r="B71" s="2" t="n"/>
      <c r="C71" s="2" t="n"/>
      <c r="D71" s="2" t="n"/>
      <c r="E71" s="2" t="n"/>
      <c r="F71" s="2" t="n"/>
      <c r="G71" s="2" t="n"/>
      <c r="H71" s="2" t="n"/>
    </row>
    <row r="72" hidden="1">
      <c r="A72" s="2" t="n"/>
      <c r="B72" s="2" t="n"/>
      <c r="C72" s="2" t="n"/>
      <c r="D72" s="2" t="n"/>
      <c r="E72" s="2" t="n"/>
      <c r="F72" s="2" t="n"/>
      <c r="G72" s="2" t="n"/>
      <c r="H72" s="2" t="n"/>
    </row>
    <row r="73" hidden="1">
      <c r="A73" s="2" t="n"/>
      <c r="B73" s="2" t="n"/>
      <c r="C73" s="2" t="n"/>
      <c r="D73" s="2" t="n"/>
      <c r="E73" s="2" t="n"/>
      <c r="F73" s="2" t="n"/>
      <c r="G73" s="2" t="n"/>
      <c r="H73" s="2" t="n"/>
    </row>
    <row r="74" hidden="1">
      <c r="A74" s="2" t="n"/>
      <c r="B74" s="2" t="n"/>
      <c r="C74" s="2" t="n"/>
      <c r="D74" s="2" t="n"/>
      <c r="E74" s="2" t="n"/>
      <c r="F74" s="2" t="n"/>
      <c r="G74" s="2" t="n"/>
      <c r="H74" s="2" t="n"/>
    </row>
    <row r="75" hidden="1">
      <c r="A75" s="2" t="n"/>
      <c r="B75" s="2" t="n"/>
      <c r="C75" s="2" t="n"/>
      <c r="D75" s="2" t="n"/>
      <c r="E75" s="2" t="n"/>
      <c r="F75" s="2" t="n"/>
      <c r="G75" s="2" t="n"/>
      <c r="H75" s="2" t="n"/>
    </row>
    <row r="76" hidden="1">
      <c r="A76" s="2" t="n"/>
      <c r="B76" s="2" t="n"/>
      <c r="C76" s="2" t="n"/>
      <c r="D76" s="2" t="n"/>
      <c r="E76" s="2" t="n"/>
      <c r="F76" s="2" t="n"/>
      <c r="G76" s="2" t="n"/>
      <c r="H76" s="2" t="n"/>
    </row>
    <row r="77" hidden="1">
      <c r="A77" s="2" t="n"/>
      <c r="B77" s="2" t="n"/>
      <c r="C77" s="2" t="n"/>
      <c r="D77" s="2" t="n"/>
      <c r="E77" s="2" t="n"/>
      <c r="F77" s="2" t="n"/>
      <c r="G77" s="2" t="n"/>
      <c r="H77" s="2" t="n"/>
    </row>
    <row r="78" hidden="1">
      <c r="A78" s="2" t="n"/>
      <c r="B78" s="2" t="n"/>
      <c r="C78" s="2" t="n"/>
      <c r="D78" s="2" t="n"/>
      <c r="E78" s="2" t="n"/>
      <c r="F78" s="2" t="n"/>
      <c r="G78" s="2" t="n"/>
      <c r="H78" s="2" t="n"/>
    </row>
    <row r="79" hidden="1">
      <c r="A79" s="2" t="n"/>
      <c r="B79" s="2" t="n"/>
      <c r="C79" s="2" t="n"/>
      <c r="D79" s="2" t="n"/>
      <c r="E79" s="2" t="n"/>
      <c r="F79" s="2" t="n"/>
      <c r="G79" s="2" t="n"/>
      <c r="H79" s="2" t="n"/>
    </row>
    <row r="80" hidden="1">
      <c r="A80" s="2" t="n"/>
      <c r="B80" s="2" t="n"/>
      <c r="C80" s="2" t="n"/>
      <c r="D80" s="2" t="n"/>
      <c r="E80" s="2" t="n"/>
      <c r="F80" s="2" t="n"/>
      <c r="G80" s="2" t="n"/>
      <c r="H80" s="2" t="n"/>
    </row>
    <row r="81" hidden="1">
      <c r="A81" s="2" t="n"/>
      <c r="B81" s="2" t="n"/>
      <c r="C81" s="2" t="n"/>
      <c r="D81" s="2" t="n"/>
      <c r="E81" s="2" t="n"/>
      <c r="F81" s="2" t="n"/>
      <c r="G81" s="2" t="n"/>
      <c r="H81" s="2" t="n"/>
    </row>
    <row r="82" hidden="1">
      <c r="A82" s="2" t="n"/>
      <c r="B82" s="2" t="n"/>
      <c r="C82" s="2" t="n"/>
      <c r="D82" s="2" t="n"/>
      <c r="E82" s="2" t="n"/>
      <c r="F82" s="2" t="n"/>
      <c r="G82" s="2" t="n"/>
      <c r="H82" s="2" t="n"/>
    </row>
    <row r="83" hidden="1">
      <c r="A83" s="2" t="n"/>
      <c r="B83" s="2" t="n"/>
      <c r="C83" s="2" t="n"/>
      <c r="D83" s="2" t="n"/>
      <c r="E83" s="2" t="n"/>
      <c r="F83" s="2" t="n"/>
      <c r="G83" s="2" t="n"/>
      <c r="H83" s="2" t="n"/>
    </row>
    <row r="84" hidden="1">
      <c r="A84" s="2" t="n"/>
      <c r="B84" s="2" t="n"/>
      <c r="C84" s="2" t="n"/>
      <c r="D84" s="2" t="n"/>
      <c r="E84" s="2" t="n"/>
      <c r="F84" s="2" t="n"/>
      <c r="G84" s="2" t="n"/>
      <c r="H84" s="2" t="n"/>
    </row>
    <row r="85" hidden="1">
      <c r="A85" s="2" t="n"/>
      <c r="B85" s="2" t="n"/>
      <c r="C85" s="2" t="n"/>
      <c r="D85" s="2" t="n"/>
      <c r="E85" s="2" t="n"/>
      <c r="F85" s="2" t="n"/>
      <c r="G85" s="2" t="n"/>
      <c r="H85" s="2" t="n"/>
    </row>
    <row r="86" hidden="1">
      <c r="A86" s="2" t="n"/>
      <c r="B86" s="2" t="n"/>
      <c r="C86" s="2" t="n"/>
      <c r="D86" s="2" t="n"/>
      <c r="E86" s="2" t="n"/>
      <c r="F86" s="2" t="n"/>
      <c r="G86" s="2" t="n"/>
      <c r="H86" s="2" t="n"/>
    </row>
    <row r="87" hidden="1">
      <c r="A87" s="2" t="n"/>
      <c r="B87" s="2" t="n"/>
      <c r="C87" s="2" t="n"/>
      <c r="D87" s="2" t="n"/>
      <c r="E87" s="2" t="n"/>
      <c r="F87" s="2" t="n"/>
      <c r="G87" s="2" t="n"/>
      <c r="H87" s="2" t="n"/>
    </row>
    <row r="88" hidden="1">
      <c r="A88" s="2" t="n"/>
      <c r="B88" s="2" t="n"/>
      <c r="C88" s="2" t="n"/>
      <c r="D88" s="2" t="n"/>
      <c r="E88" s="2" t="n"/>
      <c r="F88" s="2" t="n"/>
      <c r="G88" s="2" t="n"/>
      <c r="H88" s="2" t="n"/>
    </row>
    <row r="89" hidden="1">
      <c r="A89" s="2" t="n"/>
      <c r="B89" s="2" t="n"/>
      <c r="C89" s="2" t="n"/>
      <c r="D89" s="2" t="n"/>
      <c r="E89" s="2" t="n"/>
      <c r="F89" s="2" t="n"/>
      <c r="G89" s="2" t="n"/>
      <c r="H89" s="2" t="n"/>
    </row>
    <row r="90" hidden="1">
      <c r="A90" s="2" t="n"/>
      <c r="B90" s="2" t="n"/>
      <c r="C90" s="2" t="n"/>
      <c r="D90" s="2" t="n"/>
      <c r="E90" s="2" t="n"/>
      <c r="F90" s="2" t="n"/>
      <c r="G90" s="2" t="n"/>
      <c r="H90" s="2" t="n"/>
    </row>
    <row r="91" hidden="1">
      <c r="A91" s="2" t="n"/>
      <c r="B91" s="2" t="n"/>
      <c r="C91" s="2" t="n"/>
      <c r="D91" s="2" t="n"/>
      <c r="E91" s="2" t="n"/>
      <c r="F91" s="2" t="n"/>
      <c r="G91" s="2" t="n"/>
      <c r="H91" s="2" t="n"/>
    </row>
    <row r="92" hidden="1">
      <c r="A92" s="2" t="n"/>
      <c r="B92" s="2" t="n"/>
      <c r="C92" s="2" t="n"/>
      <c r="D92" s="2" t="n"/>
      <c r="E92" s="2" t="n"/>
      <c r="F92" s="2" t="n"/>
      <c r="G92" s="2" t="n"/>
      <c r="H92" s="2" t="n"/>
    </row>
    <row r="93" hidden="1">
      <c r="A93" s="2" t="n"/>
      <c r="B93" s="2" t="n"/>
      <c r="C93" s="2" t="n"/>
      <c r="D93" s="2" t="n"/>
      <c r="E93" s="2" t="n"/>
      <c r="F93" s="2" t="n"/>
      <c r="G93" s="2" t="n"/>
      <c r="H93" s="2" t="n"/>
    </row>
    <row r="94" hidden="1">
      <c r="A94" s="2" t="n"/>
      <c r="B94" s="2" t="n"/>
      <c r="C94" s="2" t="n"/>
      <c r="D94" s="2" t="n"/>
      <c r="E94" s="2" t="n"/>
      <c r="F94" s="2" t="n"/>
      <c r="G94" s="2" t="n"/>
      <c r="H94" s="2" t="n"/>
    </row>
    <row r="95" hidden="1">
      <c r="A95" s="2" t="n"/>
      <c r="B95" s="2" t="n"/>
      <c r="C95" s="2" t="n"/>
      <c r="D95" s="2" t="n"/>
      <c r="E95" s="2" t="n"/>
      <c r="F95" s="2" t="n"/>
      <c r="G95" s="2" t="n"/>
      <c r="H95" s="2" t="n"/>
    </row>
    <row r="96" hidden="1">
      <c r="A96" s="2" t="n"/>
      <c r="B96" s="2" t="n"/>
      <c r="C96" s="2" t="n"/>
      <c r="D96" s="2" t="n"/>
      <c r="E96" s="2" t="n"/>
      <c r="F96" s="2" t="n"/>
      <c r="G96" s="2" t="n"/>
      <c r="H96" s="2" t="n"/>
    </row>
    <row r="97" hidden="1">
      <c r="A97" s="2" t="n"/>
      <c r="B97" s="2" t="n"/>
      <c r="C97" s="2" t="n"/>
      <c r="D97" s="2" t="n"/>
      <c r="E97" s="2" t="n"/>
      <c r="F97" s="2" t="n"/>
      <c r="G97" s="2" t="n"/>
      <c r="H97" s="2" t="n"/>
    </row>
    <row r="98" hidden="1">
      <c r="A98" s="2" t="n"/>
      <c r="B98" s="2" t="n"/>
      <c r="C98" s="2" t="n"/>
      <c r="D98" s="2" t="n"/>
      <c r="E98" s="2" t="n"/>
      <c r="F98" s="2" t="n"/>
      <c r="G98" s="2" t="n"/>
      <c r="H98" s="2" t="n"/>
    </row>
    <row r="99" hidden="1">
      <c r="A99" s="2" t="n"/>
      <c r="B99" s="2" t="n"/>
      <c r="C99" s="2" t="n"/>
      <c r="D99" s="2" t="n"/>
      <c r="E99" s="2" t="n"/>
      <c r="F99" s="2" t="n"/>
      <c r="G99" s="2" t="n"/>
      <c r="H99" s="2" t="n"/>
    </row>
    <row r="100" hidden="1">
      <c r="A100" s="2" t="n"/>
      <c r="B100" s="2" t="n"/>
      <c r="C100" s="2" t="n"/>
      <c r="D100" s="2" t="n"/>
      <c r="E100" s="2" t="n"/>
      <c r="F100" s="2" t="n"/>
      <c r="G100" s="2" t="n"/>
      <c r="H100" s="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H100"/>
  <sheetViews>
    <sheetView workbookViewId="0">
      <selection activeCell="A100" sqref="A30:XFD100"/>
    </sheetView>
  </sheetViews>
  <sheetFormatPr baseColWidth="8" defaultRowHeight="12.75"/>
  <cols>
    <col width="9.5703125" bestFit="1" customWidth="1" min="1" max="1"/>
    <col width="27.285156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 ht="18" customHeight="1">
      <c r="A1" s="7" t="inlineStr">
        <is>
          <t>VENDOR1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/>
      <c r="D5" s="2" t="n"/>
      <c r="E5" s="3" t="n"/>
      <c r="F5" s="2" t="n"/>
      <c r="G5" s="2">
        <f>IF(C5*E5=0, "Not Quoted", C5*E5)</f>
        <v/>
      </c>
      <c r="H5" s="3" t="n"/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100"/>
  <sheetViews>
    <sheetView workbookViewId="0">
      <selection activeCell="A30" sqref="A30:XFD100"/>
    </sheetView>
  </sheetViews>
  <sheetFormatPr baseColWidth="8" defaultRowHeight="12.75"/>
  <cols>
    <col width="9.85546875" customWidth="1" min="1" max="1"/>
    <col width="34.425781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>
      <c r="A1" s="7" t="inlineStr">
        <is>
          <t>VENDOR2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/>
      <c r="D5" s="2" t="n"/>
      <c r="E5" s="3" t="n"/>
      <c r="F5" s="2" t="n"/>
      <c r="G5" s="2">
        <f>IF(C5*E5=0, "Not Quoted", C5*E5)</f>
        <v/>
      </c>
      <c r="H5" s="3" t="n"/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M112"/>
  <sheetViews>
    <sheetView workbookViewId="0">
      <selection activeCell="B24" sqref="B24"/>
    </sheetView>
  </sheetViews>
  <sheetFormatPr baseColWidth="8" defaultRowHeight="12.75"/>
  <cols>
    <col width="20.140625" bestFit="1" customWidth="1" min="1" max="1"/>
    <col width="24.140625" bestFit="1" customWidth="1" min="2" max="2"/>
    <col width="10.140625" bestFit="1" customWidth="1" min="3" max="3"/>
    <col width="14" customWidth="1" min="4" max="4"/>
    <col width="16.7109375" customWidth="1" min="5" max="5"/>
    <col width="21.42578125" customWidth="1" min="6" max="6"/>
    <col width="18.42578125" customWidth="1" min="7" max="7"/>
    <col width="13.42578125" customWidth="1" min="8" max="8"/>
    <col width="15.7109375" customWidth="1" min="9" max="9"/>
    <col width="22.5703125" customWidth="1" min="10" max="10"/>
    <col width="19.7109375" customWidth="1" min="11" max="11"/>
    <col width="12.5703125" customWidth="1" min="12" max="12"/>
    <col width="15.85546875" customWidth="1" min="13" max="13"/>
  </cols>
  <sheetData>
    <row r="1">
      <c r="A1" s="4" t="inlineStr">
        <is>
          <t>Exchange Rate (USD):</t>
        </is>
      </c>
      <c r="B1" s="5" t="n">
        <v>1.2</v>
      </c>
      <c r="D1" s="4" t="inlineStr">
        <is>
          <t>Tariff Rate (%):</t>
        </is>
      </c>
      <c r="E1" s="5" t="n">
        <v>0.05</v>
      </c>
    </row>
    <row r="2">
      <c r="A2" s="4" t="inlineStr">
        <is>
          <t>VAT Rate (%):</t>
        </is>
      </c>
      <c r="B2" s="5" t="n">
        <v>0.15</v>
      </c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Qty Check</t>
        </is>
      </c>
      <c r="D4" s="1">
        <f>Vendor1!A1</f>
        <v/>
      </c>
      <c r="E4" s="1">
        <f> Vendor1!A1 &amp; " (USD)"</f>
        <v/>
      </c>
      <c r="F4" s="1">
        <f> Vendor1!A1 &amp; " Comment"</f>
        <v/>
      </c>
      <c r="G4" s="1">
        <f>Vendor1!A1 &amp; " UNIT"</f>
        <v/>
      </c>
      <c r="H4" s="1">
        <f>Vendor2!A1</f>
        <v/>
      </c>
      <c r="I4" s="1">
        <f> Vendor2!A1 &amp; " (USD)"</f>
        <v/>
      </c>
      <c r="J4" s="1">
        <f> Vendor2!A1 &amp; " Comment"</f>
        <v/>
      </c>
      <c r="K4" s="1">
        <f>Vendor2!A1 &amp; " UNIT"</f>
        <v/>
      </c>
      <c r="L4" s="1" t="inlineStr">
        <is>
          <t>Difference</t>
        </is>
      </c>
      <c r="M4" s="1" t="inlineStr">
        <is>
          <t>UNIT Difference</t>
        </is>
      </c>
    </row>
    <row r="5">
      <c r="A5" s="2">
        <f>Customer!A5</f>
        <v/>
      </c>
      <c r="B5" s="2">
        <f>Customer!B5</f>
        <v/>
      </c>
      <c r="C5" s="2">
        <f>IF(AND(Vendor1!E5=Customer!E5, Vendor2!E5=Customer!E5), "Match", "Error")</f>
        <v/>
      </c>
      <c r="D5" s="2">
        <f>Vendor1!G5</f>
        <v/>
      </c>
      <c r="E5" s="2">
        <f>IF(ISNUMBER(Vendor1!G5), Vendor1!G5*$B$1, "-")</f>
        <v/>
      </c>
      <c r="F5" s="2">
        <f>Vendor1!H5</f>
        <v/>
      </c>
      <c r="G5" s="2">
        <f>Vendor1!C5</f>
        <v/>
      </c>
      <c r="H5" s="2">
        <f>Vendor2!G5</f>
        <v/>
      </c>
      <c r="I5" s="2">
        <f>IF(ISNUMBER(Vendor2!G5), Vendor2!G5*$B$1, "-")</f>
        <v/>
      </c>
      <c r="J5" s="2">
        <f>Vendor2!H5</f>
        <v/>
      </c>
      <c r="K5" s="2">
        <f>Vendor2!C5</f>
        <v/>
      </c>
      <c r="L5" s="2">
        <f>E5-I5</f>
        <v/>
      </c>
      <c r="M5" s="2">
        <f>G5-K5</f>
        <v/>
      </c>
    </row>
    <row r="6">
      <c r="A6" s="2">
        <f>Customer!A6</f>
        <v/>
      </c>
      <c r="B6" s="2">
        <f>Customer!B6</f>
        <v/>
      </c>
      <c r="C6" s="2">
        <f>IF(AND(Vendor1!E6=Customer!E6, Vendor2!E6=Customer!E6), "Match", "Error")</f>
        <v/>
      </c>
      <c r="D6" s="2">
        <f>Vendor1!G6</f>
        <v/>
      </c>
      <c r="E6" s="2">
        <f>IF(ISNUMBER(Vendor1!G6), Vendor1!G6*$B$1, "-")</f>
        <v/>
      </c>
      <c r="F6" s="2">
        <f>Vendor1!H6</f>
        <v/>
      </c>
      <c r="G6" s="2">
        <f>Vendor1!C6</f>
        <v/>
      </c>
      <c r="H6" s="2">
        <f>Vendor2!G6</f>
        <v/>
      </c>
      <c r="I6" s="2">
        <f>IF(ISNUMBER(Vendor2!G6), Vendor2!G6*$B$1, "-")</f>
        <v/>
      </c>
      <c r="J6" s="2">
        <f>Vendor2!H6</f>
        <v/>
      </c>
      <c r="K6" s="2">
        <f>Vendor2!C6</f>
        <v/>
      </c>
      <c r="L6" s="2">
        <f>E6-I6</f>
        <v/>
      </c>
      <c r="M6" s="2">
        <f>G6-K6</f>
        <v/>
      </c>
    </row>
    <row r="7">
      <c r="A7" s="2">
        <f>Customer!A7</f>
        <v/>
      </c>
      <c r="B7" s="2">
        <f>Customer!B7</f>
        <v/>
      </c>
      <c r="C7" s="2">
        <f>IF(AND(Vendor1!E7=Customer!E7, Vendor2!E7=Customer!E7), "Match", "Error")</f>
        <v/>
      </c>
      <c r="D7" s="2">
        <f>Vendor1!G7</f>
        <v/>
      </c>
      <c r="E7" s="2">
        <f>IF(ISNUMBER(Vendor1!G7), Vendor1!G7*$B$1, "-")</f>
        <v/>
      </c>
      <c r="F7" s="2">
        <f>Vendor1!H7</f>
        <v/>
      </c>
      <c r="G7" s="2">
        <f>Vendor1!C7</f>
        <v/>
      </c>
      <c r="H7" s="2">
        <f>Vendor2!G7</f>
        <v/>
      </c>
      <c r="I7" s="2">
        <f>IF(ISNUMBER(Vendor2!G7), Vendor2!G7*$B$1, "-")</f>
        <v/>
      </c>
      <c r="J7" s="2">
        <f>Vendor2!H7</f>
        <v/>
      </c>
      <c r="K7" s="2">
        <f>Vendor2!C7</f>
        <v/>
      </c>
      <c r="L7" s="2">
        <f>E7-I7</f>
        <v/>
      </c>
      <c r="M7" s="2">
        <f>G7-K7</f>
        <v/>
      </c>
    </row>
    <row r="8">
      <c r="A8" s="2">
        <f>Customer!A8</f>
        <v/>
      </c>
      <c r="B8" s="2">
        <f>Customer!B8</f>
        <v/>
      </c>
      <c r="C8" s="2">
        <f>IF(AND(Vendor1!E8=Customer!E8, Vendor2!E8=Customer!E8), "Match", "Error")</f>
        <v/>
      </c>
      <c r="D8" s="2">
        <f>Vendor1!G8</f>
        <v/>
      </c>
      <c r="E8" s="2">
        <f>IF(ISNUMBER(Vendor1!G8), Vendor1!G8*$B$1, "-")</f>
        <v/>
      </c>
      <c r="F8" s="2">
        <f>Vendor1!H8</f>
        <v/>
      </c>
      <c r="G8" s="2">
        <f>Vendor1!C8</f>
        <v/>
      </c>
      <c r="H8" s="2">
        <f>Vendor2!G8</f>
        <v/>
      </c>
      <c r="I8" s="2">
        <f>IF(ISNUMBER(Vendor2!G8), Vendor2!G8*$B$1, "-")</f>
        <v/>
      </c>
      <c r="J8" s="2">
        <f>Vendor2!H8</f>
        <v/>
      </c>
      <c r="K8" s="2">
        <f>Vendor2!C8</f>
        <v/>
      </c>
      <c r="L8" s="2">
        <f>E8-I8</f>
        <v/>
      </c>
      <c r="M8" s="2">
        <f>G8-K8</f>
        <v/>
      </c>
    </row>
    <row r="9">
      <c r="A9" s="2">
        <f>Customer!A9</f>
        <v/>
      </c>
      <c r="B9" s="2">
        <f>Customer!B9</f>
        <v/>
      </c>
      <c r="C9" s="2">
        <f>IF(AND(Vendor1!E9=Customer!E9, Vendor2!E9=Customer!E9), "Match", "Error")</f>
        <v/>
      </c>
      <c r="D9" s="2">
        <f>Vendor1!G9</f>
        <v/>
      </c>
      <c r="E9" s="2">
        <f>IF(ISNUMBER(Vendor1!G9), Vendor1!G9*$B$1, "-")</f>
        <v/>
      </c>
      <c r="F9" s="2">
        <f>Vendor1!H9</f>
        <v/>
      </c>
      <c r="G9" s="2">
        <f>Vendor1!C9</f>
        <v/>
      </c>
      <c r="H9" s="2">
        <f>Vendor2!G9</f>
        <v/>
      </c>
      <c r="I9" s="2">
        <f>IF(ISNUMBER(Vendor2!G9), Vendor2!G9*$B$1, "-")</f>
        <v/>
      </c>
      <c r="J9" s="2">
        <f>Vendor2!H9</f>
        <v/>
      </c>
      <c r="K9" s="2">
        <f>Vendor2!C9</f>
        <v/>
      </c>
      <c r="L9" s="2">
        <f>E9-I9</f>
        <v/>
      </c>
      <c r="M9" s="2">
        <f>G9-K9</f>
        <v/>
      </c>
    </row>
    <row r="10">
      <c r="A10" s="2">
        <f>Customer!A10</f>
        <v/>
      </c>
      <c r="B10" s="2">
        <f>Customer!B10</f>
        <v/>
      </c>
      <c r="C10" s="2">
        <f>IF(AND(Vendor1!E10=Customer!E10, Vendor2!E10=Customer!E10), "Match", "Error")</f>
        <v/>
      </c>
      <c r="D10" s="2">
        <f>Vendor1!G10</f>
        <v/>
      </c>
      <c r="E10" s="2">
        <f>IF(ISNUMBER(Vendor1!G10), Vendor1!G10*$B$1, "-")</f>
        <v/>
      </c>
      <c r="F10" s="2">
        <f>Vendor1!H10</f>
        <v/>
      </c>
      <c r="G10" s="2">
        <f>Vendor1!C10</f>
        <v/>
      </c>
      <c r="H10" s="2">
        <f>Vendor2!G10</f>
        <v/>
      </c>
      <c r="I10" s="2">
        <f>IF(ISNUMBER(Vendor2!G10), Vendor2!G10*$B$1, "-")</f>
        <v/>
      </c>
      <c r="J10" s="2">
        <f>Vendor2!H10</f>
        <v/>
      </c>
      <c r="K10" s="2">
        <f>Vendor2!C10</f>
        <v/>
      </c>
      <c r="L10" s="2">
        <f>E10-I10</f>
        <v/>
      </c>
      <c r="M10" s="2">
        <f>G10-K10</f>
        <v/>
      </c>
    </row>
    <row r="11">
      <c r="A11" s="2">
        <f>Customer!A11</f>
        <v/>
      </c>
      <c r="B11" s="2">
        <f>Customer!B11</f>
        <v/>
      </c>
      <c r="C11" s="2">
        <f>IF(AND(Vendor1!E11=Customer!E11, Vendor2!E11=Customer!E11), "Match", "Error")</f>
        <v/>
      </c>
      <c r="D11" s="2">
        <f>Vendor1!G11</f>
        <v/>
      </c>
      <c r="E11" s="2">
        <f>IF(ISNUMBER(Vendor1!G11), Vendor1!G11*$B$1, "-")</f>
        <v/>
      </c>
      <c r="F11" s="2">
        <f>Vendor1!H11</f>
        <v/>
      </c>
      <c r="G11" s="2">
        <f>Vendor1!C11</f>
        <v/>
      </c>
      <c r="H11" s="2">
        <f>Vendor2!G11</f>
        <v/>
      </c>
      <c r="I11" s="2">
        <f>IF(ISNUMBER(Vendor2!G11), Vendor2!G11*$B$1, "-")</f>
        <v/>
      </c>
      <c r="J11" s="2">
        <f>Vendor2!H11</f>
        <v/>
      </c>
      <c r="K11" s="2">
        <f>Vendor2!C11</f>
        <v/>
      </c>
      <c r="L11" s="2">
        <f>E11-I11</f>
        <v/>
      </c>
      <c r="M11" s="2">
        <f>G11-K11</f>
        <v/>
      </c>
    </row>
    <row r="12">
      <c r="A12" s="2">
        <f>Customer!A12</f>
        <v/>
      </c>
      <c r="B12" s="2">
        <f>Customer!B12</f>
        <v/>
      </c>
      <c r="C12" s="2">
        <f>IF(AND(Vendor1!E12=Customer!E12, Vendor2!E12=Customer!E12), "Match", "Error")</f>
        <v/>
      </c>
      <c r="D12" s="2">
        <f>Vendor1!G12</f>
        <v/>
      </c>
      <c r="E12" s="2">
        <f>IF(ISNUMBER(Vendor1!G12), Vendor1!G12*$B$1, "-")</f>
        <v/>
      </c>
      <c r="F12" s="2">
        <f>Vendor1!H12</f>
        <v/>
      </c>
      <c r="G12" s="2">
        <f>Vendor1!C12</f>
        <v/>
      </c>
      <c r="H12" s="2">
        <f>Vendor2!G12</f>
        <v/>
      </c>
      <c r="I12" s="2">
        <f>IF(ISNUMBER(Vendor2!G12), Vendor2!G12*$B$1, "-")</f>
        <v/>
      </c>
      <c r="J12" s="2">
        <f>Vendor2!H12</f>
        <v/>
      </c>
      <c r="K12" s="2">
        <f>Vendor2!C12</f>
        <v/>
      </c>
      <c r="L12" s="2">
        <f>E12-I12</f>
        <v/>
      </c>
      <c r="M12" s="2">
        <f>G12-K12</f>
        <v/>
      </c>
    </row>
    <row r="13">
      <c r="A13" s="2">
        <f>Customer!A13</f>
        <v/>
      </c>
      <c r="B13" s="2">
        <f>Customer!B13</f>
        <v/>
      </c>
      <c r="C13" s="2">
        <f>IF(AND(Vendor1!E13=Customer!E13, Vendor2!E13=Customer!E13), "Match", "Error")</f>
        <v/>
      </c>
      <c r="D13" s="2">
        <f>Vendor1!G13</f>
        <v/>
      </c>
      <c r="E13" s="2">
        <f>IF(ISNUMBER(Vendor1!G13), Vendor1!G13*$B$1, "-")</f>
        <v/>
      </c>
      <c r="F13" s="2">
        <f>Vendor1!H13</f>
        <v/>
      </c>
      <c r="G13" s="2">
        <f>Vendor1!C13</f>
        <v/>
      </c>
      <c r="H13" s="2">
        <f>Vendor2!G13</f>
        <v/>
      </c>
      <c r="I13" s="2">
        <f>IF(ISNUMBER(Vendor2!G13), Vendor2!G13*$B$1, "-")</f>
        <v/>
      </c>
      <c r="J13" s="2">
        <f>Vendor2!H13</f>
        <v/>
      </c>
      <c r="K13" s="2">
        <f>Vendor2!C13</f>
        <v/>
      </c>
      <c r="L13" s="2">
        <f>E13-I13</f>
        <v/>
      </c>
      <c r="M13" s="2">
        <f>G13-K13</f>
        <v/>
      </c>
    </row>
    <row r="14">
      <c r="A14" s="2">
        <f>Customer!A14</f>
        <v/>
      </c>
      <c r="B14" s="2">
        <f>Customer!B14</f>
        <v/>
      </c>
      <c r="C14" s="2">
        <f>IF(AND(Vendor1!E14=Customer!E14, Vendor2!E14=Customer!E14), "Match", "Error")</f>
        <v/>
      </c>
      <c r="D14" s="2">
        <f>Vendor1!G14</f>
        <v/>
      </c>
      <c r="E14" s="2">
        <f>IF(ISNUMBER(Vendor1!G14), Vendor1!G14*$B$1, "-")</f>
        <v/>
      </c>
      <c r="F14" s="2">
        <f>Vendor1!H14</f>
        <v/>
      </c>
      <c r="G14" s="2">
        <f>Vendor1!C14</f>
        <v/>
      </c>
      <c r="H14" s="2">
        <f>Vendor2!G14</f>
        <v/>
      </c>
      <c r="I14" s="2">
        <f>IF(ISNUMBER(Vendor2!G14), Vendor2!G14*$B$1, "-")</f>
        <v/>
      </c>
      <c r="J14" s="2">
        <f>Vendor2!H14</f>
        <v/>
      </c>
      <c r="K14" s="2">
        <f>Vendor2!C14</f>
        <v/>
      </c>
      <c r="L14" s="2">
        <f>E14-I14</f>
        <v/>
      </c>
      <c r="M14" s="2">
        <f>G14-K14</f>
        <v/>
      </c>
    </row>
    <row r="15">
      <c r="A15" s="2">
        <f>Customer!A15</f>
        <v/>
      </c>
      <c r="B15" s="2">
        <f>Customer!B15</f>
        <v/>
      </c>
      <c r="C15" s="2">
        <f>IF(AND(Vendor1!E15=Customer!E15, Vendor2!E15=Customer!E15), "Match", "Error")</f>
        <v/>
      </c>
      <c r="D15" s="2">
        <f>Vendor1!G15</f>
        <v/>
      </c>
      <c r="E15" s="2">
        <f>IF(ISNUMBER(Vendor1!G15), Vendor1!G15*$B$1, "-")</f>
        <v/>
      </c>
      <c r="F15" s="2">
        <f>Vendor1!H15</f>
        <v/>
      </c>
      <c r="G15" s="2">
        <f>Vendor1!C15</f>
        <v/>
      </c>
      <c r="H15" s="2">
        <f>Vendor2!G15</f>
        <v/>
      </c>
      <c r="I15" s="2">
        <f>IF(ISNUMBER(Vendor2!G15), Vendor2!G15*$B$1, "-")</f>
        <v/>
      </c>
      <c r="J15" s="2">
        <f>Vendor2!H15</f>
        <v/>
      </c>
      <c r="K15" s="2">
        <f>Vendor2!C15</f>
        <v/>
      </c>
      <c r="L15" s="2">
        <f>E15-I15</f>
        <v/>
      </c>
      <c r="M15" s="2">
        <f>G15-K15</f>
        <v/>
      </c>
    </row>
    <row r="16">
      <c r="A16" s="2">
        <f>Customer!A16</f>
        <v/>
      </c>
      <c r="B16" s="2">
        <f>Customer!B16</f>
        <v/>
      </c>
      <c r="C16" s="2">
        <f>IF(AND(Vendor1!E16=Customer!E16, Vendor2!E16=Customer!E16), "Match", "Error")</f>
        <v/>
      </c>
      <c r="D16" s="2">
        <f>Vendor1!G16</f>
        <v/>
      </c>
      <c r="E16" s="2">
        <f>IF(ISNUMBER(Vendor1!G16), Vendor1!G16*$B$1, "-")</f>
        <v/>
      </c>
      <c r="F16" s="2">
        <f>Vendor1!H16</f>
        <v/>
      </c>
      <c r="G16" s="2">
        <f>Vendor1!C16</f>
        <v/>
      </c>
      <c r="H16" s="2">
        <f>Vendor2!G16</f>
        <v/>
      </c>
      <c r="I16" s="2">
        <f>IF(ISNUMBER(Vendor2!G16), Vendor2!G16*$B$1, "-")</f>
        <v/>
      </c>
      <c r="J16" s="2">
        <f>Vendor2!H16</f>
        <v/>
      </c>
      <c r="K16" s="2">
        <f>Vendor2!C16</f>
        <v/>
      </c>
      <c r="L16" s="2">
        <f>E16-I16</f>
        <v/>
      </c>
      <c r="M16" s="2">
        <f>G16-K16</f>
        <v/>
      </c>
    </row>
    <row r="17">
      <c r="A17" s="2">
        <f>Customer!A17</f>
        <v/>
      </c>
      <c r="B17" s="2">
        <f>Customer!B17</f>
        <v/>
      </c>
      <c r="C17" s="2">
        <f>IF(AND(Vendor1!E17=Customer!E17, Vendor2!E17=Customer!E17), "Match", "Error")</f>
        <v/>
      </c>
      <c r="D17" s="2">
        <f>Vendor1!G17</f>
        <v/>
      </c>
      <c r="E17" s="2">
        <f>IF(ISNUMBER(Vendor1!G17), Vendor1!G17*$B$1, "-")</f>
        <v/>
      </c>
      <c r="F17" s="2">
        <f>Vendor1!H17</f>
        <v/>
      </c>
      <c r="G17" s="2">
        <f>Vendor1!C17</f>
        <v/>
      </c>
      <c r="H17" s="2">
        <f>Vendor2!G17</f>
        <v/>
      </c>
      <c r="I17" s="2">
        <f>IF(ISNUMBER(Vendor2!G17), Vendor2!G17*$B$1, "-")</f>
        <v/>
      </c>
      <c r="J17" s="2">
        <f>Vendor2!H17</f>
        <v/>
      </c>
      <c r="K17" s="2">
        <f>Vendor2!C17</f>
        <v/>
      </c>
      <c r="L17" s="2">
        <f>E17-I17</f>
        <v/>
      </c>
      <c r="M17" s="2">
        <f>G17-K17</f>
        <v/>
      </c>
    </row>
    <row r="18">
      <c r="A18" s="2">
        <f>Customer!A18</f>
        <v/>
      </c>
      <c r="B18" s="2">
        <f>Customer!B18</f>
        <v/>
      </c>
      <c r="C18" s="2">
        <f>IF(AND(Vendor1!E18=Customer!E18, Vendor2!E18=Customer!E18), "Match", "Error")</f>
        <v/>
      </c>
      <c r="D18" s="2">
        <f>Vendor1!G18</f>
        <v/>
      </c>
      <c r="E18" s="2">
        <f>IF(ISNUMBER(Vendor1!G18), Vendor1!G18*$B$1, "-")</f>
        <v/>
      </c>
      <c r="F18" s="2">
        <f>Vendor1!H18</f>
        <v/>
      </c>
      <c r="G18" s="2">
        <f>Vendor1!C18</f>
        <v/>
      </c>
      <c r="H18" s="2">
        <f>Vendor2!G18</f>
        <v/>
      </c>
      <c r="I18" s="2">
        <f>IF(ISNUMBER(Vendor2!G18), Vendor2!G18*$B$1, "-")</f>
        <v/>
      </c>
      <c r="J18" s="2">
        <f>Vendor2!H18</f>
        <v/>
      </c>
      <c r="K18" s="2">
        <f>Vendor2!C18</f>
        <v/>
      </c>
      <c r="L18" s="2">
        <f>E18-I18</f>
        <v/>
      </c>
      <c r="M18" s="2">
        <f>G18-K18</f>
        <v/>
      </c>
    </row>
    <row r="19">
      <c r="A19" s="2">
        <f>Customer!A19</f>
        <v/>
      </c>
      <c r="B19" s="2">
        <f>Customer!B19</f>
        <v/>
      </c>
      <c r="C19" s="2">
        <f>IF(AND(Vendor1!E19=Customer!E19, Vendor2!E19=Customer!E19), "Match", "Error")</f>
        <v/>
      </c>
      <c r="D19" s="2">
        <f>Vendor1!G19</f>
        <v/>
      </c>
      <c r="E19" s="2">
        <f>IF(ISNUMBER(Vendor1!G19), Vendor1!G19*$B$1, "-")</f>
        <v/>
      </c>
      <c r="F19" s="2">
        <f>Vendor1!H19</f>
        <v/>
      </c>
      <c r="G19" s="2">
        <f>Vendor1!C19</f>
        <v/>
      </c>
      <c r="H19" s="2">
        <f>Vendor2!G19</f>
        <v/>
      </c>
      <c r="I19" s="2">
        <f>IF(ISNUMBER(Vendor2!G19), Vendor2!G19*$B$1, "-")</f>
        <v/>
      </c>
      <c r="J19" s="2">
        <f>Vendor2!H19</f>
        <v/>
      </c>
      <c r="K19" s="2">
        <f>Vendor2!C19</f>
        <v/>
      </c>
      <c r="L19" s="2">
        <f>E19-I19</f>
        <v/>
      </c>
      <c r="M19" s="2">
        <f>G19-K19</f>
        <v/>
      </c>
    </row>
    <row r="20">
      <c r="A20" s="2">
        <f>Customer!A20</f>
        <v/>
      </c>
      <c r="B20" s="2">
        <f>Customer!B20</f>
        <v/>
      </c>
      <c r="C20" s="2">
        <f>IF(AND(Vendor1!E20=Customer!E20, Vendor2!E20=Customer!E20), "Match", "Error")</f>
        <v/>
      </c>
      <c r="D20" s="2">
        <f>Vendor1!G20</f>
        <v/>
      </c>
      <c r="E20" s="2">
        <f>IF(ISNUMBER(Vendor1!G20), Vendor1!G20*$B$1, "-")</f>
        <v/>
      </c>
      <c r="F20" s="2">
        <f>Vendor1!H20</f>
        <v/>
      </c>
      <c r="G20" s="2">
        <f>Vendor1!C20</f>
        <v/>
      </c>
      <c r="H20" s="2">
        <f>Vendor2!G20</f>
        <v/>
      </c>
      <c r="I20" s="2">
        <f>IF(ISNUMBER(Vendor2!G20), Vendor2!G20*$B$1, "-")</f>
        <v/>
      </c>
      <c r="J20" s="2">
        <f>Vendor2!H20</f>
        <v/>
      </c>
      <c r="K20" s="2">
        <f>Vendor2!C20</f>
        <v/>
      </c>
      <c r="L20" s="2">
        <f>E20-I20</f>
        <v/>
      </c>
      <c r="M20" s="2">
        <f>G20-K20</f>
        <v/>
      </c>
    </row>
    <row r="21">
      <c r="A21" s="2">
        <f>Customer!A21</f>
        <v/>
      </c>
      <c r="B21" s="2">
        <f>Customer!B21</f>
        <v/>
      </c>
      <c r="C21" s="2">
        <f>IF(AND(Vendor1!E21=Customer!E21, Vendor2!E21=Customer!E21), "Match", "Error")</f>
        <v/>
      </c>
      <c r="D21" s="2">
        <f>Vendor1!G21</f>
        <v/>
      </c>
      <c r="E21" s="2">
        <f>IF(ISNUMBER(Vendor1!G21), Vendor1!G21*$B$1, "-")</f>
        <v/>
      </c>
      <c r="F21" s="2">
        <f>Vendor1!H21</f>
        <v/>
      </c>
      <c r="G21" s="2">
        <f>Vendor1!C21</f>
        <v/>
      </c>
      <c r="H21" s="2">
        <f>Vendor2!G21</f>
        <v/>
      </c>
      <c r="I21" s="2">
        <f>IF(ISNUMBER(Vendor2!G21), Vendor2!G21*$B$1, "-")</f>
        <v/>
      </c>
      <c r="J21" s="2">
        <f>Vendor2!H21</f>
        <v/>
      </c>
      <c r="K21" s="2">
        <f>Vendor2!C21</f>
        <v/>
      </c>
      <c r="L21" s="2">
        <f>E21-I21</f>
        <v/>
      </c>
      <c r="M21" s="2">
        <f>G21-K21</f>
        <v/>
      </c>
    </row>
    <row r="22">
      <c r="A22" s="2">
        <f>Customer!A22</f>
        <v/>
      </c>
      <c r="B22" s="2">
        <f>Customer!B22</f>
        <v/>
      </c>
      <c r="C22" s="2">
        <f>IF(AND(Vendor1!E22=Customer!E22, Vendor2!E22=Customer!E22), "Match", "Error")</f>
        <v/>
      </c>
      <c r="D22" s="2">
        <f>Vendor1!G22</f>
        <v/>
      </c>
      <c r="E22" s="2">
        <f>IF(ISNUMBER(Vendor1!G22), Vendor1!G22*$B$1, "-")</f>
        <v/>
      </c>
      <c r="F22" s="2">
        <f>Vendor1!H22</f>
        <v/>
      </c>
      <c r="G22" s="2">
        <f>Vendor1!C22</f>
        <v/>
      </c>
      <c r="H22" s="2">
        <f>Vendor2!G22</f>
        <v/>
      </c>
      <c r="I22" s="2">
        <f>IF(ISNUMBER(Vendor2!G22), Vendor2!G22*$B$1, "-")</f>
        <v/>
      </c>
      <c r="J22" s="2">
        <f>Vendor2!H22</f>
        <v/>
      </c>
      <c r="K22" s="2">
        <f>Vendor2!C22</f>
        <v/>
      </c>
      <c r="L22" s="2">
        <f>E22-I22</f>
        <v/>
      </c>
      <c r="M22" s="2">
        <f>G22-K22</f>
        <v/>
      </c>
    </row>
    <row r="23">
      <c r="A23" s="2">
        <f>Customer!A23</f>
        <v/>
      </c>
      <c r="B23" s="2">
        <f>Customer!B23</f>
        <v/>
      </c>
      <c r="C23" s="2">
        <f>IF(AND(Vendor1!E23=Customer!E23, Vendor2!E23=Customer!E23), "Match", "Error")</f>
        <v/>
      </c>
      <c r="D23" s="2">
        <f>Vendor1!G23</f>
        <v/>
      </c>
      <c r="E23" s="2">
        <f>IF(ISNUMBER(Vendor1!G23), Vendor1!G23*$B$1, "-")</f>
        <v/>
      </c>
      <c r="F23" s="2">
        <f>Vendor1!H23</f>
        <v/>
      </c>
      <c r="G23" s="2">
        <f>Vendor1!C23</f>
        <v/>
      </c>
      <c r="H23" s="2">
        <f>Vendor2!G23</f>
        <v/>
      </c>
      <c r="I23" s="2">
        <f>IF(ISNUMBER(Vendor2!G23), Vendor2!G23*$B$1, "-")</f>
        <v/>
      </c>
      <c r="J23" s="2">
        <f>Vendor2!H23</f>
        <v/>
      </c>
      <c r="K23" s="2">
        <f>Vendor2!C23</f>
        <v/>
      </c>
      <c r="L23" s="2">
        <f>E23-I23</f>
        <v/>
      </c>
      <c r="M23" s="2">
        <f>G23-K23</f>
        <v/>
      </c>
    </row>
    <row r="24">
      <c r="A24" s="2">
        <f>Customer!A24</f>
        <v/>
      </c>
      <c r="B24" s="2">
        <f>Customer!B24</f>
        <v/>
      </c>
      <c r="C24" s="2">
        <f>IF(AND(Vendor1!E24=Customer!E24, Vendor2!E24=Customer!E24), "Match", "Error")</f>
        <v/>
      </c>
      <c r="D24" s="2">
        <f>Vendor1!G24</f>
        <v/>
      </c>
      <c r="E24" s="2">
        <f>IF(ISNUMBER(Vendor1!G24), Vendor1!G24*$B$1, "-")</f>
        <v/>
      </c>
      <c r="F24" s="2">
        <f>Vendor1!H24</f>
        <v/>
      </c>
      <c r="G24" s="2">
        <f>Vendor1!C24</f>
        <v/>
      </c>
      <c r="H24" s="2">
        <f>Vendor2!G24</f>
        <v/>
      </c>
      <c r="I24" s="2">
        <f>IF(ISNUMBER(Vendor2!G24), Vendor2!G24*$B$1, "-")</f>
        <v/>
      </c>
      <c r="J24" s="2">
        <f>Vendor2!H24</f>
        <v/>
      </c>
      <c r="K24" s="2">
        <f>Vendor2!C24</f>
        <v/>
      </c>
      <c r="L24" s="2">
        <f>E24-I24</f>
        <v/>
      </c>
      <c r="M24" s="2">
        <f>G24-K24</f>
        <v/>
      </c>
    </row>
    <row r="25">
      <c r="A25" s="2">
        <f>Customer!A25</f>
        <v/>
      </c>
      <c r="B25" s="2">
        <f>Customer!B25</f>
        <v/>
      </c>
      <c r="C25" s="2">
        <f>IF(AND(Vendor1!E25=Customer!E25, Vendor2!E25=Customer!E25), "Match", "Error")</f>
        <v/>
      </c>
      <c r="D25" s="2">
        <f>Vendor1!G25</f>
        <v/>
      </c>
      <c r="E25" s="2">
        <f>IF(ISNUMBER(Vendor1!G25), Vendor1!G25*$B$1, "-")</f>
        <v/>
      </c>
      <c r="F25" s="2">
        <f>Vendor1!H25</f>
        <v/>
      </c>
      <c r="G25" s="2">
        <f>Vendor1!C25</f>
        <v/>
      </c>
      <c r="H25" s="2">
        <f>Vendor2!G25</f>
        <v/>
      </c>
      <c r="I25" s="2">
        <f>IF(ISNUMBER(Vendor2!G25), Vendor2!G25*$B$1, "-")</f>
        <v/>
      </c>
      <c r="J25" s="2">
        <f>Vendor2!H25</f>
        <v/>
      </c>
      <c r="K25" s="2">
        <f>Vendor2!C25</f>
        <v/>
      </c>
      <c r="L25" s="2">
        <f>E25-I25</f>
        <v/>
      </c>
      <c r="M25" s="2">
        <f>G25-K25</f>
        <v/>
      </c>
    </row>
    <row r="26">
      <c r="A26" s="2">
        <f>Customer!A26</f>
        <v/>
      </c>
      <c r="B26" s="2">
        <f>Customer!B26</f>
        <v/>
      </c>
      <c r="C26" s="2">
        <f>IF(AND(Vendor1!E26=Customer!E26, Vendor2!E26=Customer!E26), "Match", "Error")</f>
        <v/>
      </c>
      <c r="D26" s="2">
        <f>Vendor1!G26</f>
        <v/>
      </c>
      <c r="E26" s="2">
        <f>IF(ISNUMBER(Vendor1!G26), Vendor1!G26*$B$1, "-")</f>
        <v/>
      </c>
      <c r="F26" s="2">
        <f>Vendor1!H26</f>
        <v/>
      </c>
      <c r="G26" s="2">
        <f>Vendor1!C26</f>
        <v/>
      </c>
      <c r="H26" s="2">
        <f>Vendor2!G26</f>
        <v/>
      </c>
      <c r="I26" s="2">
        <f>IF(ISNUMBER(Vendor2!G26), Vendor2!G26*$B$1, "-")</f>
        <v/>
      </c>
      <c r="J26" s="2">
        <f>Vendor2!H26</f>
        <v/>
      </c>
      <c r="K26" s="2">
        <f>Vendor2!C26</f>
        <v/>
      </c>
      <c r="L26" s="2">
        <f>E26-I26</f>
        <v/>
      </c>
      <c r="M26" s="2">
        <f>G26-K26</f>
        <v/>
      </c>
    </row>
    <row r="27">
      <c r="A27" s="2">
        <f>Customer!A27</f>
        <v/>
      </c>
      <c r="B27" s="2">
        <f>Customer!B27</f>
        <v/>
      </c>
      <c r="C27" s="2">
        <f>IF(AND(Vendor1!E27=Customer!E27, Vendor2!E27=Customer!E27), "Match", "Error")</f>
        <v/>
      </c>
      <c r="D27" s="2">
        <f>Vendor1!G27</f>
        <v/>
      </c>
      <c r="E27" s="2">
        <f>IF(ISNUMBER(Vendor1!G27), Vendor1!G27*$B$1, "-")</f>
        <v/>
      </c>
      <c r="F27" s="2">
        <f>Vendor1!H27</f>
        <v/>
      </c>
      <c r="G27" s="2">
        <f>Vendor1!C27</f>
        <v/>
      </c>
      <c r="H27" s="2">
        <f>Vendor2!G27</f>
        <v/>
      </c>
      <c r="I27" s="2">
        <f>IF(ISNUMBER(Vendor2!G27), Vendor2!G27*$B$1, "-")</f>
        <v/>
      </c>
      <c r="J27" s="2">
        <f>Vendor2!H27</f>
        <v/>
      </c>
      <c r="K27" s="2">
        <f>Vendor2!C27</f>
        <v/>
      </c>
      <c r="L27" s="2">
        <f>E27-I27</f>
        <v/>
      </c>
      <c r="M27" s="2">
        <f>G27-K27</f>
        <v/>
      </c>
    </row>
    <row r="28">
      <c r="A28" s="2">
        <f>Customer!A28</f>
        <v/>
      </c>
      <c r="B28" s="2">
        <f>Customer!B28</f>
        <v/>
      </c>
      <c r="C28" s="2">
        <f>IF(AND(Vendor1!E28=Customer!E28, Vendor2!E28=Customer!E28), "Match", "Error")</f>
        <v/>
      </c>
      <c r="D28" s="2">
        <f>Vendor1!G28</f>
        <v/>
      </c>
      <c r="E28" s="2">
        <f>IF(ISNUMBER(Vendor1!G28), Vendor1!G28*$B$1, "-")</f>
        <v/>
      </c>
      <c r="F28" s="2">
        <f>Vendor1!H28</f>
        <v/>
      </c>
      <c r="G28" s="2">
        <f>Vendor1!C28</f>
        <v/>
      </c>
      <c r="H28" s="2">
        <f>Vendor2!G28</f>
        <v/>
      </c>
      <c r="I28" s="2">
        <f>IF(ISNUMBER(Vendor2!G28), Vendor2!G28*$B$1, "-")</f>
        <v/>
      </c>
      <c r="J28" s="2">
        <f>Vendor2!H28</f>
        <v/>
      </c>
      <c r="K28" s="2">
        <f>Vendor2!C28</f>
        <v/>
      </c>
      <c r="L28" s="2">
        <f>E28-I28</f>
        <v/>
      </c>
      <c r="M28" s="2">
        <f>G28-K28</f>
        <v/>
      </c>
    </row>
    <row r="29">
      <c r="A29" s="2">
        <f>Customer!A29</f>
        <v/>
      </c>
      <c r="B29" s="2">
        <f>Customer!B29</f>
        <v/>
      </c>
      <c r="C29" s="2">
        <f>IF(AND(Vendor1!E29=Customer!E29, Vendor2!E29=Customer!E29), "Match", "Error")</f>
        <v/>
      </c>
      <c r="D29" s="2">
        <f>Vendor1!G29</f>
        <v/>
      </c>
      <c r="E29" s="2">
        <f>IF(ISNUMBER(Vendor1!G29), Vendor1!G29*$B$1, "-")</f>
        <v/>
      </c>
      <c r="F29" s="2">
        <f>Vendor1!H29</f>
        <v/>
      </c>
      <c r="G29" s="2">
        <f>Vendor1!C29</f>
        <v/>
      </c>
      <c r="H29" s="2">
        <f>Vendor2!G29</f>
        <v/>
      </c>
      <c r="I29" s="2">
        <f>IF(ISNUMBER(Vendor2!G29), Vendor2!G29*$B$1, "-")</f>
        <v/>
      </c>
      <c r="J29" s="2">
        <f>Vendor2!H29</f>
        <v/>
      </c>
      <c r="K29" s="2">
        <f>Vendor2!C29</f>
        <v/>
      </c>
      <c r="L29" s="2">
        <f>E29-I29</f>
        <v/>
      </c>
      <c r="M29" s="2">
        <f>G29-K29</f>
        <v/>
      </c>
    </row>
    <row r="30">
      <c r="A30" s="2">
        <f>Customer!A30</f>
        <v/>
      </c>
      <c r="B30" s="2">
        <f>Customer!B30</f>
        <v/>
      </c>
      <c r="C30" s="2">
        <f>IF(AND(Vendor1!E30=Customer!E30, Vendor2!E30=Customer!E30), "Match", "Error")</f>
        <v/>
      </c>
      <c r="D30" s="2">
        <f>Vendor1!G30</f>
        <v/>
      </c>
      <c r="E30" s="2">
        <f>IF(ISNUMBER(Vendor1!G30), Vendor1!G30*$B$1, "-")</f>
        <v/>
      </c>
      <c r="F30" s="2">
        <f>Vendor1!H30</f>
        <v/>
      </c>
      <c r="G30" s="2">
        <f>Vendor1!C30</f>
        <v/>
      </c>
      <c r="H30" s="2">
        <f>Vendor2!G30</f>
        <v/>
      </c>
      <c r="I30" s="2">
        <f>IF(ISNUMBER(Vendor2!G30), Vendor2!G30*$B$1, "-")</f>
        <v/>
      </c>
      <c r="J30" s="2">
        <f>Vendor2!H30</f>
        <v/>
      </c>
      <c r="K30" s="2">
        <f>Vendor2!C30</f>
        <v/>
      </c>
      <c r="L30" s="2">
        <f>E30-I30</f>
        <v/>
      </c>
      <c r="M30" s="2">
        <f>G30-K30</f>
        <v/>
      </c>
    </row>
    <row r="31">
      <c r="A31" s="2">
        <f>Customer!A31</f>
        <v/>
      </c>
      <c r="B31" s="2">
        <f>Customer!B31</f>
        <v/>
      </c>
      <c r="C31" s="2">
        <f>IF(AND(Vendor1!E31=Customer!E31, Vendor2!E31=Customer!E31), "Match", "Error")</f>
        <v/>
      </c>
      <c r="D31" s="2">
        <f>Vendor1!G31</f>
        <v/>
      </c>
      <c r="E31" s="2">
        <f>IF(ISNUMBER(Vendor1!G31), Vendor1!G31*$B$1, "-")</f>
        <v/>
      </c>
      <c r="F31" s="2">
        <f>Vendor1!H31</f>
        <v/>
      </c>
      <c r="G31" s="2">
        <f>Vendor1!C31</f>
        <v/>
      </c>
      <c r="H31" s="2">
        <f>Vendor2!G31</f>
        <v/>
      </c>
      <c r="I31" s="2">
        <f>IF(ISNUMBER(Vendor2!G31), Vendor2!G31*$B$1, "-")</f>
        <v/>
      </c>
      <c r="J31" s="2">
        <f>Vendor2!H31</f>
        <v/>
      </c>
      <c r="K31" s="2">
        <f>Vendor2!C31</f>
        <v/>
      </c>
      <c r="L31" s="2">
        <f>E31-I31</f>
        <v/>
      </c>
      <c r="M31" s="2">
        <f>G31-K31</f>
        <v/>
      </c>
    </row>
    <row r="32" hidden="1">
      <c r="A32" s="2">
        <f>Customer!A32</f>
        <v/>
      </c>
      <c r="B32" s="2">
        <f>Customer!B32</f>
        <v/>
      </c>
      <c r="C32" s="2">
        <f>IF(AND(Vendor1!E32=Customer!E32, Vendor2!E32=Customer!E32), "Match", "Error")</f>
        <v/>
      </c>
      <c r="D32" s="2">
        <f>Vendor1!G32</f>
        <v/>
      </c>
      <c r="E32" s="2">
        <f>IF(ISNUMBER(Vendor1!G32), Vendor1!G32*$B$1, "-")</f>
        <v/>
      </c>
      <c r="F32" s="2">
        <f>Vendor1!H32</f>
        <v/>
      </c>
      <c r="G32" s="2">
        <f>Vendor1!C32</f>
        <v/>
      </c>
      <c r="H32" s="2">
        <f>Vendor2!G32</f>
        <v/>
      </c>
      <c r="I32" s="2">
        <f>IF(ISNUMBER(Vendor2!G32), Vendor2!G32*$B$1, "-")</f>
        <v/>
      </c>
      <c r="J32" s="2">
        <f>Vendor2!H32</f>
        <v/>
      </c>
      <c r="K32" s="2">
        <f>Vendor2!C32</f>
        <v/>
      </c>
      <c r="L32" s="2">
        <f>E32-I32</f>
        <v/>
      </c>
      <c r="M32" s="2">
        <f>G32-K32</f>
        <v/>
      </c>
    </row>
    <row r="33" hidden="1">
      <c r="A33" s="2">
        <f>Customer!A33</f>
        <v/>
      </c>
      <c r="B33" s="2">
        <f>Customer!B33</f>
        <v/>
      </c>
      <c r="C33" s="2">
        <f>IF(AND(Vendor1!E33=Customer!E33, Vendor2!E33=Customer!E33), "Match", "Error")</f>
        <v/>
      </c>
      <c r="D33" s="2">
        <f>Vendor1!G33</f>
        <v/>
      </c>
      <c r="E33" s="2">
        <f>IF(ISNUMBER(Vendor1!G33), Vendor1!G33*$B$1, "-")</f>
        <v/>
      </c>
      <c r="F33" s="2">
        <f>Vendor1!H33</f>
        <v/>
      </c>
      <c r="G33" s="2">
        <f>Vendor1!C33</f>
        <v/>
      </c>
      <c r="H33" s="2">
        <f>Vendor2!G33</f>
        <v/>
      </c>
      <c r="I33" s="2">
        <f>IF(ISNUMBER(Vendor2!G33), Vendor2!G33*$B$1, "-")</f>
        <v/>
      </c>
      <c r="J33" s="2">
        <f>Vendor2!H33</f>
        <v/>
      </c>
      <c r="K33" s="2">
        <f>Vendor2!C33</f>
        <v/>
      </c>
      <c r="L33" s="2">
        <f>E33-I33</f>
        <v/>
      </c>
      <c r="M33" s="2">
        <f>G33-K33</f>
        <v/>
      </c>
    </row>
    <row r="34" hidden="1">
      <c r="A34" s="2">
        <f>Customer!A34</f>
        <v/>
      </c>
      <c r="B34" s="2">
        <f>Customer!B34</f>
        <v/>
      </c>
      <c r="C34" s="2">
        <f>IF(AND(Vendor1!E34=Customer!E34, Vendor2!E34=Customer!E34), "Match", "Error")</f>
        <v/>
      </c>
      <c r="D34" s="2">
        <f>Vendor1!G34</f>
        <v/>
      </c>
      <c r="E34" s="2">
        <f>IF(ISNUMBER(Vendor1!G34), Vendor1!G34*$B$1, "-")</f>
        <v/>
      </c>
      <c r="F34" s="2">
        <f>Vendor1!H34</f>
        <v/>
      </c>
      <c r="G34" s="2">
        <f>Vendor1!C34</f>
        <v/>
      </c>
      <c r="H34" s="2">
        <f>Vendor2!G34</f>
        <v/>
      </c>
      <c r="I34" s="2">
        <f>IF(ISNUMBER(Vendor2!G34), Vendor2!G34*$B$1, "-")</f>
        <v/>
      </c>
      <c r="J34" s="2">
        <f>Vendor2!H34</f>
        <v/>
      </c>
      <c r="K34" s="2">
        <f>Vendor2!C34</f>
        <v/>
      </c>
      <c r="L34" s="2">
        <f>E34-I34</f>
        <v/>
      </c>
      <c r="M34" s="2">
        <f>G34-K34</f>
        <v/>
      </c>
    </row>
    <row r="35" hidden="1">
      <c r="A35" s="2">
        <f>Customer!A35</f>
        <v/>
      </c>
      <c r="B35" s="2">
        <f>Customer!B35</f>
        <v/>
      </c>
      <c r="C35" s="2">
        <f>IF(AND(Vendor1!E35=Customer!E35, Vendor2!E35=Customer!E35), "Match", "Error")</f>
        <v/>
      </c>
      <c r="D35" s="2">
        <f>Vendor1!G35</f>
        <v/>
      </c>
      <c r="E35" s="2">
        <f>IF(ISNUMBER(Vendor1!G35), Vendor1!G35*$B$1, "-")</f>
        <v/>
      </c>
      <c r="F35" s="2">
        <f>Vendor1!H35</f>
        <v/>
      </c>
      <c r="G35" s="2">
        <f>Vendor1!C35</f>
        <v/>
      </c>
      <c r="H35" s="2">
        <f>Vendor2!G35</f>
        <v/>
      </c>
      <c r="I35" s="2">
        <f>IF(ISNUMBER(Vendor2!G35), Vendor2!G35*$B$1, "-")</f>
        <v/>
      </c>
      <c r="J35" s="2">
        <f>Vendor2!H35</f>
        <v/>
      </c>
      <c r="K35" s="2">
        <f>Vendor2!C35</f>
        <v/>
      </c>
      <c r="L35" s="2">
        <f>E35-I35</f>
        <v/>
      </c>
      <c r="M35" s="2">
        <f>G35-K35</f>
        <v/>
      </c>
    </row>
    <row r="36" hidden="1">
      <c r="A36" s="2">
        <f>Customer!A36</f>
        <v/>
      </c>
      <c r="B36" s="2">
        <f>Customer!B36</f>
        <v/>
      </c>
      <c r="C36" s="2">
        <f>IF(AND(Vendor1!E36=Customer!E36, Vendor2!E36=Customer!E36), "Match", "Error")</f>
        <v/>
      </c>
      <c r="D36" s="2">
        <f>Vendor1!G36</f>
        <v/>
      </c>
      <c r="E36" s="2">
        <f>IF(ISNUMBER(Vendor1!G36), Vendor1!G36*$B$1, "-")</f>
        <v/>
      </c>
      <c r="F36" s="2">
        <f>Vendor1!H36</f>
        <v/>
      </c>
      <c r="G36" s="2">
        <f>Vendor1!C36</f>
        <v/>
      </c>
      <c r="H36" s="2">
        <f>Vendor2!G36</f>
        <v/>
      </c>
      <c r="I36" s="2">
        <f>IF(ISNUMBER(Vendor2!G36), Vendor2!G36*$B$1, "-")</f>
        <v/>
      </c>
      <c r="J36" s="2">
        <f>Vendor2!H36</f>
        <v/>
      </c>
      <c r="K36" s="2">
        <f>Vendor2!C36</f>
        <v/>
      </c>
      <c r="L36" s="2">
        <f>E36-I36</f>
        <v/>
      </c>
      <c r="M36" s="2">
        <f>G36-K36</f>
        <v/>
      </c>
    </row>
    <row r="37" hidden="1">
      <c r="A37" s="2">
        <f>Customer!A37</f>
        <v/>
      </c>
      <c r="B37" s="2">
        <f>Customer!B37</f>
        <v/>
      </c>
      <c r="C37" s="2">
        <f>IF(AND(Vendor1!E37=Customer!E37, Vendor2!E37=Customer!E37), "Match", "Error")</f>
        <v/>
      </c>
      <c r="D37" s="2">
        <f>Vendor1!G37</f>
        <v/>
      </c>
      <c r="E37" s="2">
        <f>IF(ISNUMBER(Vendor1!G37), Vendor1!G37*$B$1, "-")</f>
        <v/>
      </c>
      <c r="F37" s="2">
        <f>Vendor1!H37</f>
        <v/>
      </c>
      <c r="G37" s="2">
        <f>Vendor1!C37</f>
        <v/>
      </c>
      <c r="H37" s="2">
        <f>Vendor2!G37</f>
        <v/>
      </c>
      <c r="I37" s="2">
        <f>IF(ISNUMBER(Vendor2!G37), Vendor2!G37*$B$1, "-")</f>
        <v/>
      </c>
      <c r="J37" s="2">
        <f>Vendor2!H37</f>
        <v/>
      </c>
      <c r="K37" s="2">
        <f>Vendor2!C37</f>
        <v/>
      </c>
      <c r="L37" s="2">
        <f>E37-I37</f>
        <v/>
      </c>
      <c r="M37" s="2">
        <f>G37-K37</f>
        <v/>
      </c>
    </row>
    <row r="38" hidden="1">
      <c r="A38" s="2">
        <f>Customer!A38</f>
        <v/>
      </c>
      <c r="B38" s="2">
        <f>Customer!B38</f>
        <v/>
      </c>
      <c r="C38" s="2">
        <f>IF(AND(Vendor1!E38=Customer!E38, Vendor2!E38=Customer!E38), "Match", "Error")</f>
        <v/>
      </c>
      <c r="D38" s="2">
        <f>Vendor1!G38</f>
        <v/>
      </c>
      <c r="E38" s="2">
        <f>IF(ISNUMBER(Vendor1!G38), Vendor1!G38*$B$1, "-")</f>
        <v/>
      </c>
      <c r="F38" s="2">
        <f>Vendor1!H38</f>
        <v/>
      </c>
      <c r="G38" s="2">
        <f>Vendor1!C38</f>
        <v/>
      </c>
      <c r="H38" s="2">
        <f>Vendor2!G38</f>
        <v/>
      </c>
      <c r="I38" s="2">
        <f>IF(ISNUMBER(Vendor2!G38), Vendor2!G38*$B$1, "-")</f>
        <v/>
      </c>
      <c r="J38" s="2">
        <f>Vendor2!H38</f>
        <v/>
      </c>
      <c r="K38" s="2">
        <f>Vendor2!C38</f>
        <v/>
      </c>
      <c r="L38" s="2">
        <f>E38-I38</f>
        <v/>
      </c>
      <c r="M38" s="2">
        <f>G38-K38</f>
        <v/>
      </c>
    </row>
    <row r="39" hidden="1">
      <c r="A39" s="2">
        <f>Customer!A39</f>
        <v/>
      </c>
      <c r="B39" s="2">
        <f>Customer!B39</f>
        <v/>
      </c>
      <c r="C39" s="2">
        <f>IF(AND(Vendor1!E39=Customer!E39, Vendor2!E39=Customer!E39), "Match", "Error")</f>
        <v/>
      </c>
      <c r="D39" s="2">
        <f>Vendor1!G39</f>
        <v/>
      </c>
      <c r="E39" s="2">
        <f>IF(ISNUMBER(Vendor1!G39), Vendor1!G39*$B$1, "-")</f>
        <v/>
      </c>
      <c r="F39" s="2">
        <f>Vendor1!H39</f>
        <v/>
      </c>
      <c r="G39" s="2">
        <f>Vendor1!C39</f>
        <v/>
      </c>
      <c r="H39" s="2">
        <f>Vendor2!G39</f>
        <v/>
      </c>
      <c r="I39" s="2">
        <f>IF(ISNUMBER(Vendor2!G39), Vendor2!G39*$B$1, "-")</f>
        <v/>
      </c>
      <c r="J39" s="2">
        <f>Vendor2!H39</f>
        <v/>
      </c>
      <c r="K39" s="2">
        <f>Vendor2!C39</f>
        <v/>
      </c>
      <c r="L39" s="2">
        <f>E39-I39</f>
        <v/>
      </c>
      <c r="M39" s="2">
        <f>G39-K39</f>
        <v/>
      </c>
    </row>
    <row r="40" hidden="1">
      <c r="A40" s="2">
        <f>Customer!A40</f>
        <v/>
      </c>
      <c r="B40" s="2">
        <f>Customer!B40</f>
        <v/>
      </c>
      <c r="C40" s="2">
        <f>IF(AND(Vendor1!E40=Customer!E40, Vendor2!E40=Customer!E40), "Match", "Error")</f>
        <v/>
      </c>
      <c r="D40" s="2">
        <f>Vendor1!G40</f>
        <v/>
      </c>
      <c r="E40" s="2">
        <f>IF(ISNUMBER(Vendor1!G40), Vendor1!G40*$B$1, "-")</f>
        <v/>
      </c>
      <c r="F40" s="2">
        <f>Vendor1!H40</f>
        <v/>
      </c>
      <c r="G40" s="2">
        <f>Vendor1!C40</f>
        <v/>
      </c>
      <c r="H40" s="2">
        <f>Vendor2!G40</f>
        <v/>
      </c>
      <c r="I40" s="2">
        <f>IF(ISNUMBER(Vendor2!G40), Vendor2!G40*$B$1, "-")</f>
        <v/>
      </c>
      <c r="J40" s="2">
        <f>Vendor2!H40</f>
        <v/>
      </c>
      <c r="K40" s="2">
        <f>Vendor2!C40</f>
        <v/>
      </c>
      <c r="L40" s="2">
        <f>E40-I40</f>
        <v/>
      </c>
      <c r="M40" s="2">
        <f>G40-K40</f>
        <v/>
      </c>
    </row>
    <row r="41" hidden="1">
      <c r="A41" s="2">
        <f>Customer!A41</f>
        <v/>
      </c>
      <c r="B41" s="2">
        <f>Customer!B41</f>
        <v/>
      </c>
      <c r="C41" s="2">
        <f>IF(AND(Vendor1!E41=Customer!E41, Vendor2!E41=Customer!E41), "Match", "Error")</f>
        <v/>
      </c>
      <c r="D41" s="2">
        <f>Vendor1!G41</f>
        <v/>
      </c>
      <c r="E41" s="2">
        <f>IF(ISNUMBER(Vendor1!G41), Vendor1!G41*$B$1, "-")</f>
        <v/>
      </c>
      <c r="F41" s="2">
        <f>Vendor1!H41</f>
        <v/>
      </c>
      <c r="G41" s="2">
        <f>Vendor1!C41</f>
        <v/>
      </c>
      <c r="H41" s="2">
        <f>Vendor2!G41</f>
        <v/>
      </c>
      <c r="I41" s="2">
        <f>IF(ISNUMBER(Vendor2!G41), Vendor2!G41*$B$1, "-")</f>
        <v/>
      </c>
      <c r="J41" s="2">
        <f>Vendor2!H41</f>
        <v/>
      </c>
      <c r="K41" s="2">
        <f>Vendor2!C41</f>
        <v/>
      </c>
      <c r="L41" s="2">
        <f>E41-I41</f>
        <v/>
      </c>
      <c r="M41" s="2">
        <f>G41-K41</f>
        <v/>
      </c>
    </row>
    <row r="42" hidden="1">
      <c r="A42" s="2">
        <f>Customer!A42</f>
        <v/>
      </c>
      <c r="B42" s="2">
        <f>Customer!B42</f>
        <v/>
      </c>
      <c r="C42" s="2">
        <f>IF(AND(Vendor1!E42=Customer!E42, Vendor2!E42=Customer!E42), "Match", "Error")</f>
        <v/>
      </c>
      <c r="D42" s="2">
        <f>Vendor1!G42</f>
        <v/>
      </c>
      <c r="E42" s="2">
        <f>IF(ISNUMBER(Vendor1!G42), Vendor1!G42*$B$1, "-")</f>
        <v/>
      </c>
      <c r="F42" s="2">
        <f>Vendor1!H42</f>
        <v/>
      </c>
      <c r="G42" s="2">
        <f>Vendor1!C42</f>
        <v/>
      </c>
      <c r="H42" s="2">
        <f>Vendor2!G42</f>
        <v/>
      </c>
      <c r="I42" s="2">
        <f>IF(ISNUMBER(Vendor2!G42), Vendor2!G42*$B$1, "-")</f>
        <v/>
      </c>
      <c r="J42" s="2">
        <f>Vendor2!H42</f>
        <v/>
      </c>
      <c r="K42" s="2">
        <f>Vendor2!C42</f>
        <v/>
      </c>
      <c r="L42" s="2">
        <f>E42-I42</f>
        <v/>
      </c>
      <c r="M42" s="2">
        <f>G42-K42</f>
        <v/>
      </c>
    </row>
    <row r="43" hidden="1">
      <c r="A43" s="2">
        <f>Customer!A43</f>
        <v/>
      </c>
      <c r="B43" s="2">
        <f>Customer!B43</f>
        <v/>
      </c>
      <c r="C43" s="2">
        <f>IF(AND(Vendor1!E43=Customer!E43, Vendor2!E43=Customer!E43), "Match", "Error")</f>
        <v/>
      </c>
      <c r="D43" s="2">
        <f>Vendor1!G43</f>
        <v/>
      </c>
      <c r="E43" s="2">
        <f>IF(ISNUMBER(Vendor1!G43), Vendor1!G43*$B$1, "-")</f>
        <v/>
      </c>
      <c r="F43" s="2">
        <f>Vendor1!H43</f>
        <v/>
      </c>
      <c r="G43" s="2">
        <f>Vendor1!C43</f>
        <v/>
      </c>
      <c r="H43" s="2">
        <f>Vendor2!G43</f>
        <v/>
      </c>
      <c r="I43" s="2">
        <f>IF(ISNUMBER(Vendor2!G43), Vendor2!G43*$B$1, "-")</f>
        <v/>
      </c>
      <c r="J43" s="2">
        <f>Vendor2!H43</f>
        <v/>
      </c>
      <c r="K43" s="2">
        <f>Vendor2!C43</f>
        <v/>
      </c>
      <c r="L43" s="2">
        <f>E43-I43</f>
        <v/>
      </c>
      <c r="M43" s="2">
        <f>G43-K43</f>
        <v/>
      </c>
    </row>
    <row r="44" hidden="1">
      <c r="A44" s="2">
        <f>Customer!A44</f>
        <v/>
      </c>
      <c r="B44" s="2">
        <f>Customer!B44</f>
        <v/>
      </c>
      <c r="C44" s="2">
        <f>IF(AND(Vendor1!E44=Customer!E44, Vendor2!E44=Customer!E44), "Match", "Error")</f>
        <v/>
      </c>
      <c r="D44" s="2">
        <f>Vendor1!G44</f>
        <v/>
      </c>
      <c r="E44" s="2">
        <f>IF(ISNUMBER(Vendor1!G44), Vendor1!G44*$B$1, "-")</f>
        <v/>
      </c>
      <c r="F44" s="2">
        <f>Vendor1!H44</f>
        <v/>
      </c>
      <c r="G44" s="2">
        <f>Vendor1!C44</f>
        <v/>
      </c>
      <c r="H44" s="2">
        <f>Vendor2!G44</f>
        <v/>
      </c>
      <c r="I44" s="2">
        <f>IF(ISNUMBER(Vendor2!G44), Vendor2!G44*$B$1, "-")</f>
        <v/>
      </c>
      <c r="J44" s="2">
        <f>Vendor2!H44</f>
        <v/>
      </c>
      <c r="K44" s="2">
        <f>Vendor2!C44</f>
        <v/>
      </c>
      <c r="L44" s="2">
        <f>E44-I44</f>
        <v/>
      </c>
      <c r="M44" s="2">
        <f>G44-K44</f>
        <v/>
      </c>
    </row>
    <row r="45" hidden="1">
      <c r="A45" s="2">
        <f>Customer!A45</f>
        <v/>
      </c>
      <c r="B45" s="2">
        <f>Customer!B45</f>
        <v/>
      </c>
      <c r="C45" s="2">
        <f>IF(AND(Vendor1!E45=Customer!E45, Vendor2!E45=Customer!E45), "Match", "Error")</f>
        <v/>
      </c>
      <c r="D45" s="2">
        <f>Vendor1!G45</f>
        <v/>
      </c>
      <c r="E45" s="2">
        <f>IF(ISNUMBER(Vendor1!G45), Vendor1!G45*$B$1, "-")</f>
        <v/>
      </c>
      <c r="F45" s="2">
        <f>Vendor1!H45</f>
        <v/>
      </c>
      <c r="G45" s="2">
        <f>Vendor1!C45</f>
        <v/>
      </c>
      <c r="H45" s="2">
        <f>Vendor2!G45</f>
        <v/>
      </c>
      <c r="I45" s="2">
        <f>IF(ISNUMBER(Vendor2!G45), Vendor2!G45*$B$1, "-")</f>
        <v/>
      </c>
      <c r="J45" s="2">
        <f>Vendor2!H45</f>
        <v/>
      </c>
      <c r="K45" s="2">
        <f>Vendor2!C45</f>
        <v/>
      </c>
      <c r="L45" s="2">
        <f>E45-I45</f>
        <v/>
      </c>
      <c r="M45" s="2">
        <f>G45-K45</f>
        <v/>
      </c>
    </row>
    <row r="46" hidden="1">
      <c r="A46" s="2">
        <f>Customer!A46</f>
        <v/>
      </c>
      <c r="B46" s="2">
        <f>Customer!B46</f>
        <v/>
      </c>
      <c r="C46" s="2">
        <f>IF(AND(Vendor1!E46=Customer!E46, Vendor2!E46=Customer!E46), "Match", "Error")</f>
        <v/>
      </c>
      <c r="D46" s="2">
        <f>Vendor1!G46</f>
        <v/>
      </c>
      <c r="E46" s="2">
        <f>IF(ISNUMBER(Vendor1!G46), Vendor1!G46*$B$1, "-")</f>
        <v/>
      </c>
      <c r="F46" s="2">
        <f>Vendor1!H46</f>
        <v/>
      </c>
      <c r="G46" s="2">
        <f>Vendor1!C46</f>
        <v/>
      </c>
      <c r="H46" s="2">
        <f>Vendor2!G46</f>
        <v/>
      </c>
      <c r="I46" s="2">
        <f>IF(ISNUMBER(Vendor2!G46), Vendor2!G46*$B$1, "-")</f>
        <v/>
      </c>
      <c r="J46" s="2">
        <f>Vendor2!H46</f>
        <v/>
      </c>
      <c r="K46" s="2">
        <f>Vendor2!C46</f>
        <v/>
      </c>
      <c r="L46" s="2">
        <f>E46-I46</f>
        <v/>
      </c>
      <c r="M46" s="2">
        <f>G46-K46</f>
        <v/>
      </c>
    </row>
    <row r="47" hidden="1">
      <c r="A47" s="2">
        <f>Customer!A47</f>
        <v/>
      </c>
      <c r="B47" s="2">
        <f>Customer!B47</f>
        <v/>
      </c>
      <c r="C47" s="2">
        <f>IF(AND(Vendor1!E47=Customer!E47, Vendor2!E47=Customer!E47), "Match", "Error")</f>
        <v/>
      </c>
      <c r="D47" s="2">
        <f>Vendor1!G47</f>
        <v/>
      </c>
      <c r="E47" s="2">
        <f>IF(ISNUMBER(Vendor1!G47), Vendor1!G47*$B$1, "-")</f>
        <v/>
      </c>
      <c r="F47" s="2">
        <f>Vendor1!H47</f>
        <v/>
      </c>
      <c r="G47" s="2">
        <f>Vendor1!C47</f>
        <v/>
      </c>
      <c r="H47" s="2">
        <f>Vendor2!G47</f>
        <v/>
      </c>
      <c r="I47" s="2">
        <f>IF(ISNUMBER(Vendor2!G47), Vendor2!G47*$B$1, "-")</f>
        <v/>
      </c>
      <c r="J47" s="2">
        <f>Vendor2!H47</f>
        <v/>
      </c>
      <c r="K47" s="2">
        <f>Vendor2!C47</f>
        <v/>
      </c>
      <c r="L47" s="2">
        <f>E47-I47</f>
        <v/>
      </c>
      <c r="M47" s="2">
        <f>G47-K47</f>
        <v/>
      </c>
    </row>
    <row r="48" hidden="1">
      <c r="A48" s="2">
        <f>Customer!A48</f>
        <v/>
      </c>
      <c r="B48" s="2">
        <f>Customer!B48</f>
        <v/>
      </c>
      <c r="C48" s="2">
        <f>IF(AND(Vendor1!E48=Customer!E48, Vendor2!E48=Customer!E48), "Match", "Error")</f>
        <v/>
      </c>
      <c r="D48" s="2">
        <f>Vendor1!G48</f>
        <v/>
      </c>
      <c r="E48" s="2">
        <f>IF(ISNUMBER(Vendor1!G48), Vendor1!G48*$B$1, "-")</f>
        <v/>
      </c>
      <c r="F48" s="2">
        <f>Vendor1!H48</f>
        <v/>
      </c>
      <c r="G48" s="2">
        <f>Vendor1!C48</f>
        <v/>
      </c>
      <c r="H48" s="2">
        <f>Vendor2!G48</f>
        <v/>
      </c>
      <c r="I48" s="2">
        <f>IF(ISNUMBER(Vendor2!G48), Vendor2!G48*$B$1, "-")</f>
        <v/>
      </c>
      <c r="J48" s="2">
        <f>Vendor2!H48</f>
        <v/>
      </c>
      <c r="K48" s="2">
        <f>Vendor2!C48</f>
        <v/>
      </c>
      <c r="L48" s="2">
        <f>E48-I48</f>
        <v/>
      </c>
      <c r="M48" s="2">
        <f>G48-K48</f>
        <v/>
      </c>
    </row>
    <row r="49" hidden="1">
      <c r="A49" s="2">
        <f>Customer!A49</f>
        <v/>
      </c>
      <c r="B49" s="2">
        <f>Customer!B49</f>
        <v/>
      </c>
      <c r="C49" s="2">
        <f>IF(AND(Vendor1!E49=Customer!E49, Vendor2!E49=Customer!E49), "Match", "Error")</f>
        <v/>
      </c>
      <c r="D49" s="2">
        <f>Vendor1!G49</f>
        <v/>
      </c>
      <c r="E49" s="2">
        <f>IF(ISNUMBER(Vendor1!G49), Vendor1!G49*$B$1, "-")</f>
        <v/>
      </c>
      <c r="F49" s="2">
        <f>Vendor1!H49</f>
        <v/>
      </c>
      <c r="G49" s="2">
        <f>Vendor1!C49</f>
        <v/>
      </c>
      <c r="H49" s="2">
        <f>Vendor2!G49</f>
        <v/>
      </c>
      <c r="I49" s="2">
        <f>IF(ISNUMBER(Vendor2!G49), Vendor2!G49*$B$1, "-")</f>
        <v/>
      </c>
      <c r="J49" s="2">
        <f>Vendor2!H49</f>
        <v/>
      </c>
      <c r="K49" s="2">
        <f>Vendor2!C49</f>
        <v/>
      </c>
      <c r="L49" s="2">
        <f>E49-I49</f>
        <v/>
      </c>
      <c r="M49" s="2">
        <f>G49-K49</f>
        <v/>
      </c>
    </row>
    <row r="50" hidden="1">
      <c r="A50" s="2">
        <f>Customer!A50</f>
        <v/>
      </c>
      <c r="B50" s="2">
        <f>Customer!B50</f>
        <v/>
      </c>
      <c r="C50" s="2">
        <f>IF(AND(Vendor1!E50=Customer!E50, Vendor2!E50=Customer!E50), "Match", "Error")</f>
        <v/>
      </c>
      <c r="D50" s="2">
        <f>Vendor1!G50</f>
        <v/>
      </c>
      <c r="E50" s="2">
        <f>IF(ISNUMBER(Vendor1!G50), Vendor1!G50*$B$1, "-")</f>
        <v/>
      </c>
      <c r="F50" s="2">
        <f>Vendor1!H50</f>
        <v/>
      </c>
      <c r="G50" s="2">
        <f>Vendor1!C50</f>
        <v/>
      </c>
      <c r="H50" s="2">
        <f>Vendor2!G50</f>
        <v/>
      </c>
      <c r="I50" s="2">
        <f>IF(ISNUMBER(Vendor2!G50), Vendor2!G50*$B$1, "-")</f>
        <v/>
      </c>
      <c r="J50" s="2">
        <f>Vendor2!H50</f>
        <v/>
      </c>
      <c r="K50" s="2">
        <f>Vendor2!C50</f>
        <v/>
      </c>
      <c r="L50" s="2">
        <f>E50-I50</f>
        <v/>
      </c>
      <c r="M50" s="2">
        <f>G50-K50</f>
        <v/>
      </c>
    </row>
    <row r="51" hidden="1">
      <c r="A51" s="2">
        <f>Customer!A51</f>
        <v/>
      </c>
      <c r="B51" s="2">
        <f>Customer!B51</f>
        <v/>
      </c>
      <c r="C51" s="2">
        <f>IF(AND(Vendor1!E51=Customer!E51, Vendor2!E51=Customer!E51), "Match", "Error")</f>
        <v/>
      </c>
      <c r="D51" s="2">
        <f>Vendor1!G51</f>
        <v/>
      </c>
      <c r="E51" s="2">
        <f>IF(ISNUMBER(Vendor1!G51), Vendor1!G51*$B$1, "-")</f>
        <v/>
      </c>
      <c r="F51" s="2">
        <f>Vendor1!H51</f>
        <v/>
      </c>
      <c r="G51" s="2">
        <f>Vendor1!C51</f>
        <v/>
      </c>
      <c r="H51" s="2">
        <f>Vendor2!G51</f>
        <v/>
      </c>
      <c r="I51" s="2">
        <f>IF(ISNUMBER(Vendor2!G51), Vendor2!G51*$B$1, "-")</f>
        <v/>
      </c>
      <c r="J51" s="2">
        <f>Vendor2!H51</f>
        <v/>
      </c>
      <c r="K51" s="2">
        <f>Vendor2!C51</f>
        <v/>
      </c>
      <c r="L51" s="2">
        <f>E51-I51</f>
        <v/>
      </c>
      <c r="M51" s="2">
        <f>G51-K51</f>
        <v/>
      </c>
    </row>
    <row r="52" hidden="1">
      <c r="A52" s="2">
        <f>Customer!A52</f>
        <v/>
      </c>
      <c r="B52" s="2">
        <f>Customer!B52</f>
        <v/>
      </c>
      <c r="C52" s="2">
        <f>IF(AND(Vendor1!E52=Customer!E52, Vendor2!E52=Customer!E52), "Match", "Error")</f>
        <v/>
      </c>
      <c r="D52" s="2">
        <f>Vendor1!G52</f>
        <v/>
      </c>
      <c r="E52" s="2">
        <f>IF(ISNUMBER(Vendor1!G52), Vendor1!G52*$B$1, "-")</f>
        <v/>
      </c>
      <c r="F52" s="2">
        <f>Vendor1!H52</f>
        <v/>
      </c>
      <c r="G52" s="2">
        <f>Vendor1!C52</f>
        <v/>
      </c>
      <c r="H52" s="2">
        <f>Vendor2!G52</f>
        <v/>
      </c>
      <c r="I52" s="2">
        <f>IF(ISNUMBER(Vendor2!G52), Vendor2!G52*$B$1, "-")</f>
        <v/>
      </c>
      <c r="J52" s="2">
        <f>Vendor2!H52</f>
        <v/>
      </c>
      <c r="K52" s="2">
        <f>Vendor2!C52</f>
        <v/>
      </c>
      <c r="L52" s="2">
        <f>E52-I52</f>
        <v/>
      </c>
      <c r="M52" s="2">
        <f>G52-K52</f>
        <v/>
      </c>
    </row>
    <row r="53" hidden="1">
      <c r="A53" s="2">
        <f>Customer!A53</f>
        <v/>
      </c>
      <c r="B53" s="2">
        <f>Customer!B53</f>
        <v/>
      </c>
      <c r="C53" s="2">
        <f>IF(AND(Vendor1!E53=Customer!E53, Vendor2!E53=Customer!E53), "Match", "Error")</f>
        <v/>
      </c>
      <c r="D53" s="2">
        <f>Vendor1!G53</f>
        <v/>
      </c>
      <c r="E53" s="2">
        <f>IF(ISNUMBER(Vendor1!G53), Vendor1!G53*$B$1, "-")</f>
        <v/>
      </c>
      <c r="F53" s="2">
        <f>Vendor1!H53</f>
        <v/>
      </c>
      <c r="G53" s="2">
        <f>Vendor1!C53</f>
        <v/>
      </c>
      <c r="H53" s="2">
        <f>Vendor2!G53</f>
        <v/>
      </c>
      <c r="I53" s="2">
        <f>IF(ISNUMBER(Vendor2!G53), Vendor2!G53*$B$1, "-")</f>
        <v/>
      </c>
      <c r="J53" s="2">
        <f>Vendor2!H53</f>
        <v/>
      </c>
      <c r="K53" s="2">
        <f>Vendor2!C53</f>
        <v/>
      </c>
      <c r="L53" s="2">
        <f>E53-I53</f>
        <v/>
      </c>
      <c r="M53" s="2">
        <f>G53-K53</f>
        <v/>
      </c>
    </row>
    <row r="54" hidden="1">
      <c r="A54" s="2">
        <f>Customer!A54</f>
        <v/>
      </c>
      <c r="B54" s="2">
        <f>Customer!B54</f>
        <v/>
      </c>
      <c r="C54" s="2">
        <f>IF(AND(Vendor1!E54=Customer!E54, Vendor2!E54=Customer!E54), "Match", "Error")</f>
        <v/>
      </c>
      <c r="D54" s="2">
        <f>Vendor1!G54</f>
        <v/>
      </c>
      <c r="E54" s="2">
        <f>IF(ISNUMBER(Vendor1!G54), Vendor1!G54*$B$1, "-")</f>
        <v/>
      </c>
      <c r="F54" s="2">
        <f>Vendor1!H54</f>
        <v/>
      </c>
      <c r="G54" s="2">
        <f>Vendor1!C54</f>
        <v/>
      </c>
      <c r="H54" s="2">
        <f>Vendor2!G54</f>
        <v/>
      </c>
      <c r="I54" s="2">
        <f>IF(ISNUMBER(Vendor2!G54), Vendor2!G54*$B$1, "-")</f>
        <v/>
      </c>
      <c r="J54" s="2">
        <f>Vendor2!H54</f>
        <v/>
      </c>
      <c r="K54" s="2">
        <f>Vendor2!C54</f>
        <v/>
      </c>
      <c r="L54" s="2">
        <f>E54-I54</f>
        <v/>
      </c>
      <c r="M54" s="2">
        <f>G54-K54</f>
        <v/>
      </c>
    </row>
    <row r="55" hidden="1">
      <c r="A55" s="2">
        <f>Customer!A55</f>
        <v/>
      </c>
      <c r="B55" s="2">
        <f>Customer!B55</f>
        <v/>
      </c>
      <c r="C55" s="2">
        <f>IF(AND(Vendor1!E55=Customer!E55, Vendor2!E55=Customer!E55), "Match", "Error")</f>
        <v/>
      </c>
      <c r="D55" s="2">
        <f>Vendor1!G55</f>
        <v/>
      </c>
      <c r="E55" s="2">
        <f>IF(ISNUMBER(Vendor1!G55), Vendor1!G55*$B$1, "-")</f>
        <v/>
      </c>
      <c r="F55" s="2">
        <f>Vendor1!H55</f>
        <v/>
      </c>
      <c r="G55" s="2">
        <f>Vendor1!C55</f>
        <v/>
      </c>
      <c r="H55" s="2">
        <f>Vendor2!G55</f>
        <v/>
      </c>
      <c r="I55" s="2">
        <f>IF(ISNUMBER(Vendor2!G55), Vendor2!G55*$B$1, "-")</f>
        <v/>
      </c>
      <c r="J55" s="2">
        <f>Vendor2!H55</f>
        <v/>
      </c>
      <c r="K55" s="2">
        <f>Vendor2!C55</f>
        <v/>
      </c>
      <c r="L55" s="2">
        <f>E55-I55</f>
        <v/>
      </c>
      <c r="M55" s="2">
        <f>G55-K55</f>
        <v/>
      </c>
    </row>
    <row r="56" hidden="1">
      <c r="A56" s="2">
        <f>Customer!A56</f>
        <v/>
      </c>
      <c r="B56" s="2">
        <f>Customer!B56</f>
        <v/>
      </c>
      <c r="C56" s="2">
        <f>IF(AND(Vendor1!E56=Customer!E56, Vendor2!E56=Customer!E56), "Match", "Error")</f>
        <v/>
      </c>
      <c r="D56" s="2">
        <f>Vendor1!G56</f>
        <v/>
      </c>
      <c r="E56" s="2">
        <f>IF(ISNUMBER(Vendor1!G56), Vendor1!G56*$B$1, "-")</f>
        <v/>
      </c>
      <c r="F56" s="2">
        <f>Vendor1!H56</f>
        <v/>
      </c>
      <c r="G56" s="2">
        <f>Vendor1!C56</f>
        <v/>
      </c>
      <c r="H56" s="2">
        <f>Vendor2!G56</f>
        <v/>
      </c>
      <c r="I56" s="2">
        <f>IF(ISNUMBER(Vendor2!G56), Vendor2!G56*$B$1, "-")</f>
        <v/>
      </c>
      <c r="J56" s="2">
        <f>Vendor2!H56</f>
        <v/>
      </c>
      <c r="K56" s="2">
        <f>Vendor2!C56</f>
        <v/>
      </c>
      <c r="L56" s="2">
        <f>E56-I56</f>
        <v/>
      </c>
      <c r="M56" s="2">
        <f>G56-K56</f>
        <v/>
      </c>
    </row>
    <row r="57" hidden="1">
      <c r="A57" s="2">
        <f>Customer!A57</f>
        <v/>
      </c>
      <c r="B57" s="2">
        <f>Customer!B57</f>
        <v/>
      </c>
      <c r="C57" s="2">
        <f>IF(AND(Vendor1!E57=Customer!E57, Vendor2!E57=Customer!E57), "Match", "Error")</f>
        <v/>
      </c>
      <c r="D57" s="2">
        <f>Vendor1!G57</f>
        <v/>
      </c>
      <c r="E57" s="2">
        <f>IF(ISNUMBER(Vendor1!G57), Vendor1!G57*$B$1, "-")</f>
        <v/>
      </c>
      <c r="F57" s="2">
        <f>Vendor1!H57</f>
        <v/>
      </c>
      <c r="G57" s="2">
        <f>Vendor1!C57</f>
        <v/>
      </c>
      <c r="H57" s="2">
        <f>Vendor2!G57</f>
        <v/>
      </c>
      <c r="I57" s="2">
        <f>IF(ISNUMBER(Vendor2!G57), Vendor2!G57*$B$1, "-")</f>
        <v/>
      </c>
      <c r="J57" s="2">
        <f>Vendor2!H57</f>
        <v/>
      </c>
      <c r="K57" s="2">
        <f>Vendor2!C57</f>
        <v/>
      </c>
      <c r="L57" s="2">
        <f>E57-I57</f>
        <v/>
      </c>
      <c r="M57" s="2">
        <f>G57-K57</f>
        <v/>
      </c>
    </row>
    <row r="58" hidden="1">
      <c r="A58" s="2">
        <f>Customer!A58</f>
        <v/>
      </c>
      <c r="B58" s="2">
        <f>Customer!B58</f>
        <v/>
      </c>
      <c r="C58" s="2">
        <f>IF(AND(Vendor1!E58=Customer!E58, Vendor2!E58=Customer!E58), "Match", "Error")</f>
        <v/>
      </c>
      <c r="D58" s="2">
        <f>Vendor1!G58</f>
        <v/>
      </c>
      <c r="E58" s="2">
        <f>IF(ISNUMBER(Vendor1!G58), Vendor1!G58*$B$1, "-")</f>
        <v/>
      </c>
      <c r="F58" s="2">
        <f>Vendor1!H58</f>
        <v/>
      </c>
      <c r="G58" s="2">
        <f>Vendor1!C58</f>
        <v/>
      </c>
      <c r="H58" s="2">
        <f>Vendor2!G58</f>
        <v/>
      </c>
      <c r="I58" s="2">
        <f>IF(ISNUMBER(Vendor2!G58), Vendor2!G58*$B$1, "-")</f>
        <v/>
      </c>
      <c r="J58" s="2">
        <f>Vendor2!H58</f>
        <v/>
      </c>
      <c r="K58" s="2">
        <f>Vendor2!C58</f>
        <v/>
      </c>
      <c r="L58" s="2">
        <f>E58-I58</f>
        <v/>
      </c>
      <c r="M58" s="2">
        <f>G58-K58</f>
        <v/>
      </c>
    </row>
    <row r="59" hidden="1">
      <c r="A59" s="2">
        <f>Customer!A59</f>
        <v/>
      </c>
      <c r="B59" s="2">
        <f>Customer!B59</f>
        <v/>
      </c>
      <c r="C59" s="2">
        <f>IF(AND(Vendor1!E59=Customer!E59, Vendor2!E59=Customer!E59), "Match", "Error")</f>
        <v/>
      </c>
      <c r="D59" s="2">
        <f>Vendor1!G59</f>
        <v/>
      </c>
      <c r="E59" s="2">
        <f>IF(ISNUMBER(Vendor1!G59), Vendor1!G59*$B$1, "-")</f>
        <v/>
      </c>
      <c r="F59" s="2">
        <f>Vendor1!H59</f>
        <v/>
      </c>
      <c r="G59" s="2">
        <f>Vendor1!C59</f>
        <v/>
      </c>
      <c r="H59" s="2">
        <f>Vendor2!G59</f>
        <v/>
      </c>
      <c r="I59" s="2">
        <f>IF(ISNUMBER(Vendor2!G59), Vendor2!G59*$B$1, "-")</f>
        <v/>
      </c>
      <c r="J59" s="2">
        <f>Vendor2!H59</f>
        <v/>
      </c>
      <c r="K59" s="2">
        <f>Vendor2!C59</f>
        <v/>
      </c>
      <c r="L59" s="2">
        <f>E59-I59</f>
        <v/>
      </c>
      <c r="M59" s="2">
        <f>G59-K59</f>
        <v/>
      </c>
    </row>
    <row r="60" hidden="1">
      <c r="A60" s="2">
        <f>Customer!A60</f>
        <v/>
      </c>
      <c r="B60" s="2">
        <f>Customer!B60</f>
        <v/>
      </c>
      <c r="C60" s="2">
        <f>IF(AND(Vendor1!E60=Customer!E60, Vendor2!E60=Customer!E60), "Match", "Error")</f>
        <v/>
      </c>
      <c r="D60" s="2">
        <f>Vendor1!G60</f>
        <v/>
      </c>
      <c r="E60" s="2">
        <f>IF(ISNUMBER(Vendor1!G60), Vendor1!G60*$B$1, "-")</f>
        <v/>
      </c>
      <c r="F60" s="2">
        <f>Vendor1!H60</f>
        <v/>
      </c>
      <c r="G60" s="2">
        <f>Vendor1!C60</f>
        <v/>
      </c>
      <c r="H60" s="2">
        <f>Vendor2!G60</f>
        <v/>
      </c>
      <c r="I60" s="2">
        <f>IF(ISNUMBER(Vendor2!G60), Vendor2!G60*$B$1, "-")</f>
        <v/>
      </c>
      <c r="J60" s="2">
        <f>Vendor2!H60</f>
        <v/>
      </c>
      <c r="K60" s="2">
        <f>Vendor2!C60</f>
        <v/>
      </c>
      <c r="L60" s="2">
        <f>E60-I60</f>
        <v/>
      </c>
      <c r="M60" s="2">
        <f>G60-K60</f>
        <v/>
      </c>
    </row>
    <row r="61" hidden="1">
      <c r="A61" s="2">
        <f>Customer!A61</f>
        <v/>
      </c>
      <c r="B61" s="2">
        <f>Customer!B61</f>
        <v/>
      </c>
      <c r="C61" s="2">
        <f>IF(AND(Vendor1!E61=Customer!E61, Vendor2!E61=Customer!E61), "Match", "Error")</f>
        <v/>
      </c>
      <c r="D61" s="2">
        <f>Vendor1!G61</f>
        <v/>
      </c>
      <c r="E61" s="2">
        <f>IF(ISNUMBER(Vendor1!G61), Vendor1!G61*$B$1, "-")</f>
        <v/>
      </c>
      <c r="F61" s="2">
        <f>Vendor1!H61</f>
        <v/>
      </c>
      <c r="G61" s="2">
        <f>Vendor1!C61</f>
        <v/>
      </c>
      <c r="H61" s="2">
        <f>Vendor2!G61</f>
        <v/>
      </c>
      <c r="I61" s="2">
        <f>IF(ISNUMBER(Vendor2!G61), Vendor2!G61*$B$1, "-")</f>
        <v/>
      </c>
      <c r="J61" s="2">
        <f>Vendor2!H61</f>
        <v/>
      </c>
      <c r="K61" s="2">
        <f>Vendor2!C61</f>
        <v/>
      </c>
      <c r="L61" s="2">
        <f>E61-I61</f>
        <v/>
      </c>
      <c r="M61" s="2">
        <f>G61-K61</f>
        <v/>
      </c>
    </row>
    <row r="62" hidden="1">
      <c r="A62" s="2">
        <f>Customer!A62</f>
        <v/>
      </c>
      <c r="B62" s="2">
        <f>Customer!B62</f>
        <v/>
      </c>
      <c r="C62" s="2">
        <f>IF(AND(Vendor1!E62=Customer!E62, Vendor2!E62=Customer!E62), "Match", "Error")</f>
        <v/>
      </c>
      <c r="D62" s="2">
        <f>Vendor1!G62</f>
        <v/>
      </c>
      <c r="E62" s="2">
        <f>IF(ISNUMBER(Vendor1!G62), Vendor1!G62*$B$1, "-")</f>
        <v/>
      </c>
      <c r="F62" s="2">
        <f>Vendor1!H62</f>
        <v/>
      </c>
      <c r="G62" s="2">
        <f>Vendor1!C62</f>
        <v/>
      </c>
      <c r="H62" s="2">
        <f>Vendor2!G62</f>
        <v/>
      </c>
      <c r="I62" s="2">
        <f>IF(ISNUMBER(Vendor2!G62), Vendor2!G62*$B$1, "-")</f>
        <v/>
      </c>
      <c r="J62" s="2">
        <f>Vendor2!H62</f>
        <v/>
      </c>
      <c r="K62" s="2">
        <f>Vendor2!C62</f>
        <v/>
      </c>
      <c r="L62" s="2">
        <f>E62-I62</f>
        <v/>
      </c>
      <c r="M62" s="2">
        <f>G62-K62</f>
        <v/>
      </c>
    </row>
    <row r="63" hidden="1">
      <c r="A63" s="2">
        <f>Customer!A63</f>
        <v/>
      </c>
      <c r="B63" s="2">
        <f>Customer!B63</f>
        <v/>
      </c>
      <c r="C63" s="2">
        <f>IF(AND(Vendor1!E63=Customer!E63, Vendor2!E63=Customer!E63), "Match", "Error")</f>
        <v/>
      </c>
      <c r="D63" s="2">
        <f>Vendor1!G63</f>
        <v/>
      </c>
      <c r="E63" s="2">
        <f>IF(ISNUMBER(Vendor1!G63), Vendor1!G63*$B$1, "-")</f>
        <v/>
      </c>
      <c r="F63" s="2">
        <f>Vendor1!H63</f>
        <v/>
      </c>
      <c r="G63" s="2">
        <f>Vendor1!C63</f>
        <v/>
      </c>
      <c r="H63" s="2">
        <f>Vendor2!G63</f>
        <v/>
      </c>
      <c r="I63" s="2">
        <f>IF(ISNUMBER(Vendor2!G63), Vendor2!G63*$B$1, "-")</f>
        <v/>
      </c>
      <c r="J63" s="2">
        <f>Vendor2!H63</f>
        <v/>
      </c>
      <c r="K63" s="2">
        <f>Vendor2!C63</f>
        <v/>
      </c>
      <c r="L63" s="2">
        <f>E63-I63</f>
        <v/>
      </c>
      <c r="M63" s="2">
        <f>G63-K63</f>
        <v/>
      </c>
    </row>
    <row r="64" hidden="1">
      <c r="A64" s="2">
        <f>Customer!A64</f>
        <v/>
      </c>
      <c r="B64" s="2">
        <f>Customer!B64</f>
        <v/>
      </c>
      <c r="C64" s="2">
        <f>IF(AND(Vendor1!E64=Customer!E64, Vendor2!E64=Customer!E64), "Match", "Error")</f>
        <v/>
      </c>
      <c r="D64" s="2">
        <f>Vendor1!G64</f>
        <v/>
      </c>
      <c r="E64" s="2">
        <f>IF(ISNUMBER(Vendor1!G64), Vendor1!G64*$B$1, "-")</f>
        <v/>
      </c>
      <c r="F64" s="2">
        <f>Vendor1!H64</f>
        <v/>
      </c>
      <c r="G64" s="2">
        <f>Vendor1!C64</f>
        <v/>
      </c>
      <c r="H64" s="2">
        <f>Vendor2!G64</f>
        <v/>
      </c>
      <c r="I64" s="2">
        <f>IF(ISNUMBER(Vendor2!G64), Vendor2!G64*$B$1, "-")</f>
        <v/>
      </c>
      <c r="J64" s="2">
        <f>Vendor2!H64</f>
        <v/>
      </c>
      <c r="K64" s="2">
        <f>Vendor2!C64</f>
        <v/>
      </c>
      <c r="L64" s="2">
        <f>E64-I64</f>
        <v/>
      </c>
      <c r="M64" s="2">
        <f>G64-K64</f>
        <v/>
      </c>
    </row>
    <row r="65" hidden="1">
      <c r="A65" s="2">
        <f>Customer!A65</f>
        <v/>
      </c>
      <c r="B65" s="2">
        <f>Customer!B65</f>
        <v/>
      </c>
      <c r="C65" s="2">
        <f>IF(AND(Vendor1!E65=Customer!E65, Vendor2!E65=Customer!E65), "Match", "Error")</f>
        <v/>
      </c>
      <c r="D65" s="2">
        <f>Vendor1!G65</f>
        <v/>
      </c>
      <c r="E65" s="2">
        <f>IF(ISNUMBER(Vendor1!G65), Vendor1!G65*$B$1, "-")</f>
        <v/>
      </c>
      <c r="F65" s="2">
        <f>Vendor1!H65</f>
        <v/>
      </c>
      <c r="G65" s="2">
        <f>Vendor1!C65</f>
        <v/>
      </c>
      <c r="H65" s="2">
        <f>Vendor2!G65</f>
        <v/>
      </c>
      <c r="I65" s="2">
        <f>IF(ISNUMBER(Vendor2!G65), Vendor2!G65*$B$1, "-")</f>
        <v/>
      </c>
      <c r="J65" s="2">
        <f>Vendor2!H65</f>
        <v/>
      </c>
      <c r="K65" s="2">
        <f>Vendor2!C65</f>
        <v/>
      </c>
      <c r="L65" s="2">
        <f>E65-I65</f>
        <v/>
      </c>
      <c r="M65" s="2">
        <f>G65-K65</f>
        <v/>
      </c>
    </row>
    <row r="66" hidden="1">
      <c r="A66" s="2">
        <f>Customer!A66</f>
        <v/>
      </c>
      <c r="B66" s="2">
        <f>Customer!B66</f>
        <v/>
      </c>
      <c r="C66" s="2">
        <f>IF(AND(Vendor1!E66=Customer!E66, Vendor2!E66=Customer!E66), "Match", "Error")</f>
        <v/>
      </c>
      <c r="D66" s="2">
        <f>Vendor1!G66</f>
        <v/>
      </c>
      <c r="E66" s="2">
        <f>IF(ISNUMBER(Vendor1!G66), Vendor1!G66*$B$1, "-")</f>
        <v/>
      </c>
      <c r="F66" s="2">
        <f>Vendor1!H66</f>
        <v/>
      </c>
      <c r="G66" s="2">
        <f>Vendor1!C66</f>
        <v/>
      </c>
      <c r="H66" s="2">
        <f>Vendor2!G66</f>
        <v/>
      </c>
      <c r="I66" s="2">
        <f>IF(ISNUMBER(Vendor2!G66), Vendor2!G66*$B$1, "-")</f>
        <v/>
      </c>
      <c r="J66" s="2">
        <f>Vendor2!H66</f>
        <v/>
      </c>
      <c r="K66" s="2">
        <f>Vendor2!C66</f>
        <v/>
      </c>
      <c r="L66" s="2">
        <f>E66-I66</f>
        <v/>
      </c>
      <c r="M66" s="2">
        <f>G66-K66</f>
        <v/>
      </c>
    </row>
    <row r="67" hidden="1">
      <c r="A67" s="2">
        <f>Customer!A67</f>
        <v/>
      </c>
      <c r="B67" s="2">
        <f>Customer!B67</f>
        <v/>
      </c>
      <c r="C67" s="2">
        <f>IF(AND(Vendor1!E67=Customer!E67, Vendor2!E67=Customer!E67), "Match", "Error")</f>
        <v/>
      </c>
      <c r="D67" s="2">
        <f>Vendor1!G67</f>
        <v/>
      </c>
      <c r="E67" s="2">
        <f>IF(ISNUMBER(Vendor1!G67), Vendor1!G67*$B$1, "-")</f>
        <v/>
      </c>
      <c r="F67" s="2">
        <f>Vendor1!H67</f>
        <v/>
      </c>
      <c r="G67" s="2">
        <f>Vendor1!C67</f>
        <v/>
      </c>
      <c r="H67" s="2">
        <f>Vendor2!G67</f>
        <v/>
      </c>
      <c r="I67" s="2">
        <f>IF(ISNUMBER(Vendor2!G67), Vendor2!G67*$B$1, "-")</f>
        <v/>
      </c>
      <c r="J67" s="2">
        <f>Vendor2!H67</f>
        <v/>
      </c>
      <c r="K67" s="2">
        <f>Vendor2!C67</f>
        <v/>
      </c>
      <c r="L67" s="2">
        <f>E67-I67</f>
        <v/>
      </c>
      <c r="M67" s="2">
        <f>G67-K67</f>
        <v/>
      </c>
    </row>
    <row r="68" hidden="1">
      <c r="A68" s="2">
        <f>Customer!A68</f>
        <v/>
      </c>
      <c r="B68" s="2">
        <f>Customer!B68</f>
        <v/>
      </c>
      <c r="C68" s="2">
        <f>IF(AND(Vendor1!E68=Customer!E68, Vendor2!E68=Customer!E68), "Match", "Error")</f>
        <v/>
      </c>
      <c r="D68" s="2">
        <f>Vendor1!G68</f>
        <v/>
      </c>
      <c r="E68" s="2">
        <f>IF(ISNUMBER(Vendor1!G68), Vendor1!G68*$B$1, "-")</f>
        <v/>
      </c>
      <c r="F68" s="2">
        <f>Vendor1!H68</f>
        <v/>
      </c>
      <c r="G68" s="2">
        <f>Vendor1!C68</f>
        <v/>
      </c>
      <c r="H68" s="2">
        <f>Vendor2!G68</f>
        <v/>
      </c>
      <c r="I68" s="2">
        <f>IF(ISNUMBER(Vendor2!G68), Vendor2!G68*$B$1, "-")</f>
        <v/>
      </c>
      <c r="J68" s="2">
        <f>Vendor2!H68</f>
        <v/>
      </c>
      <c r="K68" s="2">
        <f>Vendor2!C68</f>
        <v/>
      </c>
      <c r="L68" s="2">
        <f>E68-I68</f>
        <v/>
      </c>
      <c r="M68" s="2">
        <f>G68-K68</f>
        <v/>
      </c>
    </row>
    <row r="69" hidden="1">
      <c r="A69" s="2">
        <f>Customer!A69</f>
        <v/>
      </c>
      <c r="B69" s="2">
        <f>Customer!B69</f>
        <v/>
      </c>
      <c r="C69" s="2">
        <f>IF(AND(Vendor1!E69=Customer!E69, Vendor2!E69=Customer!E69), "Match", "Error")</f>
        <v/>
      </c>
      <c r="D69" s="2">
        <f>Vendor1!G69</f>
        <v/>
      </c>
      <c r="E69" s="2">
        <f>IF(ISNUMBER(Vendor1!G69), Vendor1!G69*$B$1, "-")</f>
        <v/>
      </c>
      <c r="F69" s="2">
        <f>Vendor1!H69</f>
        <v/>
      </c>
      <c r="G69" s="2">
        <f>Vendor1!C69</f>
        <v/>
      </c>
      <c r="H69" s="2">
        <f>Vendor2!G69</f>
        <v/>
      </c>
      <c r="I69" s="2">
        <f>IF(ISNUMBER(Vendor2!G69), Vendor2!G69*$B$1, "-")</f>
        <v/>
      </c>
      <c r="J69" s="2">
        <f>Vendor2!H69</f>
        <v/>
      </c>
      <c r="K69" s="2">
        <f>Vendor2!C69</f>
        <v/>
      </c>
      <c r="L69" s="2">
        <f>E69-I69</f>
        <v/>
      </c>
      <c r="M69" s="2">
        <f>G69-K69</f>
        <v/>
      </c>
    </row>
    <row r="70" hidden="1">
      <c r="A70" s="2">
        <f>Customer!A70</f>
        <v/>
      </c>
      <c r="B70" s="2">
        <f>Customer!B70</f>
        <v/>
      </c>
      <c r="C70" s="2">
        <f>IF(AND(Vendor1!E70=Customer!E70, Vendor2!E70=Customer!E70), "Match", "Error")</f>
        <v/>
      </c>
      <c r="D70" s="2">
        <f>Vendor1!G70</f>
        <v/>
      </c>
      <c r="E70" s="2">
        <f>IF(ISNUMBER(Vendor1!G70), Vendor1!G70*$B$1, "-")</f>
        <v/>
      </c>
      <c r="F70" s="2">
        <f>Vendor1!H70</f>
        <v/>
      </c>
      <c r="G70" s="2">
        <f>Vendor1!C70</f>
        <v/>
      </c>
      <c r="H70" s="2">
        <f>Vendor2!G70</f>
        <v/>
      </c>
      <c r="I70" s="2">
        <f>IF(ISNUMBER(Vendor2!G70), Vendor2!G70*$B$1, "-")</f>
        <v/>
      </c>
      <c r="J70" s="2">
        <f>Vendor2!H70</f>
        <v/>
      </c>
      <c r="K70" s="2">
        <f>Vendor2!C70</f>
        <v/>
      </c>
      <c r="L70" s="2">
        <f>E70-I70</f>
        <v/>
      </c>
      <c r="M70" s="2">
        <f>G70-K70</f>
        <v/>
      </c>
    </row>
    <row r="71" hidden="1">
      <c r="A71" s="2">
        <f>Customer!A71</f>
        <v/>
      </c>
      <c r="B71" s="2">
        <f>Customer!B71</f>
        <v/>
      </c>
      <c r="C71" s="2">
        <f>IF(AND(Vendor1!E71=Customer!E71, Vendor2!E71=Customer!E71), "Match", "Error")</f>
        <v/>
      </c>
      <c r="D71" s="2">
        <f>Vendor1!G71</f>
        <v/>
      </c>
      <c r="E71" s="2">
        <f>IF(ISNUMBER(Vendor1!G71), Vendor1!G71*$B$1, "-")</f>
        <v/>
      </c>
      <c r="F71" s="2">
        <f>Vendor1!H71</f>
        <v/>
      </c>
      <c r="G71" s="2">
        <f>Vendor1!C71</f>
        <v/>
      </c>
      <c r="H71" s="2">
        <f>Vendor2!G71</f>
        <v/>
      </c>
      <c r="I71" s="2">
        <f>IF(ISNUMBER(Vendor2!G71), Vendor2!G71*$B$1, "-")</f>
        <v/>
      </c>
      <c r="J71" s="2">
        <f>Vendor2!H71</f>
        <v/>
      </c>
      <c r="K71" s="2">
        <f>Vendor2!C71</f>
        <v/>
      </c>
      <c r="L71" s="2">
        <f>E71-I71</f>
        <v/>
      </c>
      <c r="M71" s="2">
        <f>G71-K71</f>
        <v/>
      </c>
    </row>
    <row r="72" hidden="1">
      <c r="A72" s="2">
        <f>Customer!A72</f>
        <v/>
      </c>
      <c r="B72" s="2">
        <f>Customer!B72</f>
        <v/>
      </c>
      <c r="C72" s="2">
        <f>IF(AND(Vendor1!E72=Customer!E72, Vendor2!E72=Customer!E72), "Match", "Error")</f>
        <v/>
      </c>
      <c r="D72" s="2">
        <f>Vendor1!G72</f>
        <v/>
      </c>
      <c r="E72" s="2">
        <f>IF(ISNUMBER(Vendor1!G72), Vendor1!G72*$B$1, "-")</f>
        <v/>
      </c>
      <c r="F72" s="2">
        <f>Vendor1!H72</f>
        <v/>
      </c>
      <c r="G72" s="2">
        <f>Vendor1!C72</f>
        <v/>
      </c>
      <c r="H72" s="2">
        <f>Vendor2!G72</f>
        <v/>
      </c>
      <c r="I72" s="2">
        <f>IF(ISNUMBER(Vendor2!G72), Vendor2!G72*$B$1, "-")</f>
        <v/>
      </c>
      <c r="J72" s="2">
        <f>Vendor2!H72</f>
        <v/>
      </c>
      <c r="K72" s="2">
        <f>Vendor2!C72</f>
        <v/>
      </c>
      <c r="L72" s="2">
        <f>E72-I72</f>
        <v/>
      </c>
      <c r="M72" s="2">
        <f>G72-K72</f>
        <v/>
      </c>
    </row>
    <row r="73" hidden="1">
      <c r="A73" s="2">
        <f>Customer!A73</f>
        <v/>
      </c>
      <c r="B73" s="2">
        <f>Customer!B73</f>
        <v/>
      </c>
      <c r="C73" s="2">
        <f>IF(AND(Vendor1!E73=Customer!E73, Vendor2!E73=Customer!E73), "Match", "Error")</f>
        <v/>
      </c>
      <c r="D73" s="2">
        <f>Vendor1!G73</f>
        <v/>
      </c>
      <c r="E73" s="2">
        <f>IF(ISNUMBER(Vendor1!G73), Vendor1!G73*$B$1, "-")</f>
        <v/>
      </c>
      <c r="F73" s="2">
        <f>Vendor1!H73</f>
        <v/>
      </c>
      <c r="G73" s="2">
        <f>Vendor1!C73</f>
        <v/>
      </c>
      <c r="H73" s="2">
        <f>Vendor2!G73</f>
        <v/>
      </c>
      <c r="I73" s="2">
        <f>IF(ISNUMBER(Vendor2!G73), Vendor2!G73*$B$1, "-")</f>
        <v/>
      </c>
      <c r="J73" s="2">
        <f>Vendor2!H73</f>
        <v/>
      </c>
      <c r="K73" s="2">
        <f>Vendor2!C73</f>
        <v/>
      </c>
      <c r="L73" s="2">
        <f>E73-I73</f>
        <v/>
      </c>
      <c r="M73" s="2">
        <f>G73-K73</f>
        <v/>
      </c>
    </row>
    <row r="74" hidden="1">
      <c r="A74" s="2">
        <f>Customer!A74</f>
        <v/>
      </c>
      <c r="B74" s="2">
        <f>Customer!B74</f>
        <v/>
      </c>
      <c r="C74" s="2">
        <f>IF(AND(Vendor1!E74=Customer!E74, Vendor2!E74=Customer!E74), "Match", "Error")</f>
        <v/>
      </c>
      <c r="D74" s="2">
        <f>Vendor1!G74</f>
        <v/>
      </c>
      <c r="E74" s="2">
        <f>IF(ISNUMBER(Vendor1!G74), Vendor1!G74*$B$1, "-")</f>
        <v/>
      </c>
      <c r="F74" s="2">
        <f>Vendor1!H74</f>
        <v/>
      </c>
      <c r="G74" s="2">
        <f>Vendor1!C74</f>
        <v/>
      </c>
      <c r="H74" s="2">
        <f>Vendor2!G74</f>
        <v/>
      </c>
      <c r="I74" s="2">
        <f>IF(ISNUMBER(Vendor2!G74), Vendor2!G74*$B$1, "-")</f>
        <v/>
      </c>
      <c r="J74" s="2">
        <f>Vendor2!H74</f>
        <v/>
      </c>
      <c r="K74" s="2">
        <f>Vendor2!C74</f>
        <v/>
      </c>
      <c r="L74" s="2">
        <f>E74-I74</f>
        <v/>
      </c>
      <c r="M74" s="2">
        <f>G74-K74</f>
        <v/>
      </c>
    </row>
    <row r="75" hidden="1">
      <c r="A75" s="2">
        <f>Customer!A75</f>
        <v/>
      </c>
      <c r="B75" s="2">
        <f>Customer!B75</f>
        <v/>
      </c>
      <c r="C75" s="2">
        <f>IF(AND(Vendor1!E75=Customer!E75, Vendor2!E75=Customer!E75), "Match", "Error")</f>
        <v/>
      </c>
      <c r="D75" s="2">
        <f>Vendor1!G75</f>
        <v/>
      </c>
      <c r="E75" s="2">
        <f>IF(ISNUMBER(Vendor1!G75), Vendor1!G75*$B$1, "-")</f>
        <v/>
      </c>
      <c r="F75" s="2">
        <f>Vendor1!H75</f>
        <v/>
      </c>
      <c r="G75" s="2">
        <f>Vendor1!C75</f>
        <v/>
      </c>
      <c r="H75" s="2">
        <f>Vendor2!G75</f>
        <v/>
      </c>
      <c r="I75" s="2">
        <f>IF(ISNUMBER(Vendor2!G75), Vendor2!G75*$B$1, "-")</f>
        <v/>
      </c>
      <c r="J75" s="2">
        <f>Vendor2!H75</f>
        <v/>
      </c>
      <c r="K75" s="2">
        <f>Vendor2!C75</f>
        <v/>
      </c>
      <c r="L75" s="2">
        <f>E75-I75</f>
        <v/>
      </c>
      <c r="M75" s="2">
        <f>G75-K75</f>
        <v/>
      </c>
    </row>
    <row r="76" hidden="1">
      <c r="A76" s="2">
        <f>Customer!A76</f>
        <v/>
      </c>
      <c r="B76" s="2">
        <f>Customer!B76</f>
        <v/>
      </c>
      <c r="C76" s="2">
        <f>IF(AND(Vendor1!E76=Customer!E76, Vendor2!E76=Customer!E76), "Match", "Error")</f>
        <v/>
      </c>
      <c r="D76" s="2">
        <f>Vendor1!G76</f>
        <v/>
      </c>
      <c r="E76" s="2">
        <f>IF(ISNUMBER(Vendor1!G76), Vendor1!G76*$B$1, "-")</f>
        <v/>
      </c>
      <c r="F76" s="2">
        <f>Vendor1!H76</f>
        <v/>
      </c>
      <c r="G76" s="2">
        <f>Vendor1!C76</f>
        <v/>
      </c>
      <c r="H76" s="2">
        <f>Vendor2!G76</f>
        <v/>
      </c>
      <c r="I76" s="2">
        <f>IF(ISNUMBER(Vendor2!G76), Vendor2!G76*$B$1, "-")</f>
        <v/>
      </c>
      <c r="J76" s="2">
        <f>Vendor2!H76</f>
        <v/>
      </c>
      <c r="K76" s="2">
        <f>Vendor2!C76</f>
        <v/>
      </c>
      <c r="L76" s="2">
        <f>E76-I76</f>
        <v/>
      </c>
      <c r="M76" s="2">
        <f>G76-K76</f>
        <v/>
      </c>
    </row>
    <row r="77" hidden="1">
      <c r="A77" s="2">
        <f>Customer!A77</f>
        <v/>
      </c>
      <c r="B77" s="2">
        <f>Customer!B77</f>
        <v/>
      </c>
      <c r="C77" s="2">
        <f>IF(AND(Vendor1!E77=Customer!E77, Vendor2!E77=Customer!E77), "Match", "Error")</f>
        <v/>
      </c>
      <c r="D77" s="2">
        <f>Vendor1!G77</f>
        <v/>
      </c>
      <c r="E77" s="2">
        <f>IF(ISNUMBER(Vendor1!G77), Vendor1!G77*$B$1, "-")</f>
        <v/>
      </c>
      <c r="F77" s="2">
        <f>Vendor1!H77</f>
        <v/>
      </c>
      <c r="G77" s="2">
        <f>Vendor1!C77</f>
        <v/>
      </c>
      <c r="H77" s="2">
        <f>Vendor2!G77</f>
        <v/>
      </c>
      <c r="I77" s="2">
        <f>IF(ISNUMBER(Vendor2!G77), Vendor2!G77*$B$1, "-")</f>
        <v/>
      </c>
      <c r="J77" s="2">
        <f>Vendor2!H77</f>
        <v/>
      </c>
      <c r="K77" s="2">
        <f>Vendor2!C77</f>
        <v/>
      </c>
      <c r="L77" s="2">
        <f>E77-I77</f>
        <v/>
      </c>
      <c r="M77" s="2">
        <f>G77-K77</f>
        <v/>
      </c>
    </row>
    <row r="78" hidden="1">
      <c r="A78" s="2">
        <f>Customer!A78</f>
        <v/>
      </c>
      <c r="B78" s="2">
        <f>Customer!B78</f>
        <v/>
      </c>
      <c r="C78" s="2">
        <f>IF(AND(Vendor1!E78=Customer!E78, Vendor2!E78=Customer!E78), "Match", "Error")</f>
        <v/>
      </c>
      <c r="D78" s="2">
        <f>Vendor1!G78</f>
        <v/>
      </c>
      <c r="E78" s="2">
        <f>IF(ISNUMBER(Vendor1!G78), Vendor1!G78*$B$1, "-")</f>
        <v/>
      </c>
      <c r="F78" s="2">
        <f>Vendor1!H78</f>
        <v/>
      </c>
      <c r="G78" s="2">
        <f>Vendor1!C78</f>
        <v/>
      </c>
      <c r="H78" s="2">
        <f>Vendor2!G78</f>
        <v/>
      </c>
      <c r="I78" s="2">
        <f>IF(ISNUMBER(Vendor2!G78), Vendor2!G78*$B$1, "-")</f>
        <v/>
      </c>
      <c r="J78" s="2">
        <f>Vendor2!H78</f>
        <v/>
      </c>
      <c r="K78" s="2">
        <f>Vendor2!C78</f>
        <v/>
      </c>
      <c r="L78" s="2">
        <f>E78-I78</f>
        <v/>
      </c>
      <c r="M78" s="2">
        <f>G78-K78</f>
        <v/>
      </c>
    </row>
    <row r="79" hidden="1">
      <c r="A79" s="2">
        <f>Customer!A79</f>
        <v/>
      </c>
      <c r="B79" s="2">
        <f>Customer!B79</f>
        <v/>
      </c>
      <c r="C79" s="2">
        <f>IF(AND(Vendor1!E79=Customer!E79, Vendor2!E79=Customer!E79), "Match", "Error")</f>
        <v/>
      </c>
      <c r="D79" s="2">
        <f>Vendor1!G79</f>
        <v/>
      </c>
      <c r="E79" s="2">
        <f>IF(ISNUMBER(Vendor1!G79), Vendor1!G79*$B$1, "-")</f>
        <v/>
      </c>
      <c r="F79" s="2">
        <f>Vendor1!H79</f>
        <v/>
      </c>
      <c r="G79" s="2">
        <f>Vendor1!C79</f>
        <v/>
      </c>
      <c r="H79" s="2">
        <f>Vendor2!G79</f>
        <v/>
      </c>
      <c r="I79" s="2">
        <f>IF(ISNUMBER(Vendor2!G79), Vendor2!G79*$B$1, "-")</f>
        <v/>
      </c>
      <c r="J79" s="2">
        <f>Vendor2!H79</f>
        <v/>
      </c>
      <c r="K79" s="2">
        <f>Vendor2!C79</f>
        <v/>
      </c>
      <c r="L79" s="2">
        <f>E79-I79</f>
        <v/>
      </c>
      <c r="M79" s="2">
        <f>G79-K79</f>
        <v/>
      </c>
    </row>
    <row r="80" hidden="1">
      <c r="A80" s="2">
        <f>Customer!A80</f>
        <v/>
      </c>
      <c r="B80" s="2">
        <f>Customer!B80</f>
        <v/>
      </c>
      <c r="C80" s="2">
        <f>IF(AND(Vendor1!E80=Customer!E80, Vendor2!E80=Customer!E80), "Match", "Error")</f>
        <v/>
      </c>
      <c r="D80" s="2">
        <f>Vendor1!G80</f>
        <v/>
      </c>
      <c r="E80" s="2">
        <f>IF(ISNUMBER(Vendor1!G80), Vendor1!G80*$B$1, "-")</f>
        <v/>
      </c>
      <c r="F80" s="2">
        <f>Vendor1!H80</f>
        <v/>
      </c>
      <c r="G80" s="2">
        <f>Vendor1!C80</f>
        <v/>
      </c>
      <c r="H80" s="2">
        <f>Vendor2!G80</f>
        <v/>
      </c>
      <c r="I80" s="2">
        <f>IF(ISNUMBER(Vendor2!G80), Vendor2!G80*$B$1, "-")</f>
        <v/>
      </c>
      <c r="J80" s="2">
        <f>Vendor2!H80</f>
        <v/>
      </c>
      <c r="K80" s="2">
        <f>Vendor2!C80</f>
        <v/>
      </c>
      <c r="L80" s="2">
        <f>E80-I80</f>
        <v/>
      </c>
      <c r="M80" s="2">
        <f>G80-K80</f>
        <v/>
      </c>
    </row>
    <row r="81" hidden="1">
      <c r="A81" s="2">
        <f>Customer!A81</f>
        <v/>
      </c>
      <c r="B81" s="2">
        <f>Customer!B81</f>
        <v/>
      </c>
      <c r="C81" s="2">
        <f>IF(AND(Vendor1!E81=Customer!E81, Vendor2!E81=Customer!E81), "Match", "Error")</f>
        <v/>
      </c>
      <c r="D81" s="2">
        <f>Vendor1!G81</f>
        <v/>
      </c>
      <c r="E81" s="2">
        <f>IF(ISNUMBER(Vendor1!G81), Vendor1!G81*$B$1, "-")</f>
        <v/>
      </c>
      <c r="F81" s="2">
        <f>Vendor1!H81</f>
        <v/>
      </c>
      <c r="G81" s="2">
        <f>Vendor1!C81</f>
        <v/>
      </c>
      <c r="H81" s="2">
        <f>Vendor2!G81</f>
        <v/>
      </c>
      <c r="I81" s="2">
        <f>IF(ISNUMBER(Vendor2!G81), Vendor2!G81*$B$1, "-")</f>
        <v/>
      </c>
      <c r="J81" s="2">
        <f>Vendor2!H81</f>
        <v/>
      </c>
      <c r="K81" s="2">
        <f>Vendor2!C81</f>
        <v/>
      </c>
      <c r="L81" s="2">
        <f>E81-I81</f>
        <v/>
      </c>
      <c r="M81" s="2">
        <f>G81-K81</f>
        <v/>
      </c>
    </row>
    <row r="82" hidden="1">
      <c r="A82" s="2">
        <f>Customer!A82</f>
        <v/>
      </c>
      <c r="B82" s="2">
        <f>Customer!B82</f>
        <v/>
      </c>
      <c r="C82" s="2">
        <f>IF(AND(Vendor1!E82=Customer!E82, Vendor2!E82=Customer!E82), "Match", "Error")</f>
        <v/>
      </c>
      <c r="D82" s="2">
        <f>Vendor1!G82</f>
        <v/>
      </c>
      <c r="E82" s="2">
        <f>IF(ISNUMBER(Vendor1!G82), Vendor1!G82*$B$1, "-")</f>
        <v/>
      </c>
      <c r="F82" s="2">
        <f>Vendor1!H82</f>
        <v/>
      </c>
      <c r="G82" s="2">
        <f>Vendor1!C82</f>
        <v/>
      </c>
      <c r="H82" s="2">
        <f>Vendor2!G82</f>
        <v/>
      </c>
      <c r="I82" s="2">
        <f>IF(ISNUMBER(Vendor2!G82), Vendor2!G82*$B$1, "-")</f>
        <v/>
      </c>
      <c r="J82" s="2">
        <f>Vendor2!H82</f>
        <v/>
      </c>
      <c r="K82" s="2">
        <f>Vendor2!C82</f>
        <v/>
      </c>
      <c r="L82" s="2">
        <f>E82-I82</f>
        <v/>
      </c>
      <c r="M82" s="2">
        <f>G82-K82</f>
        <v/>
      </c>
    </row>
    <row r="83" hidden="1">
      <c r="A83" s="2">
        <f>Customer!A83</f>
        <v/>
      </c>
      <c r="B83" s="2">
        <f>Customer!B83</f>
        <v/>
      </c>
      <c r="C83" s="2">
        <f>IF(AND(Vendor1!E83=Customer!E83, Vendor2!E83=Customer!E83), "Match", "Error")</f>
        <v/>
      </c>
      <c r="D83" s="2">
        <f>Vendor1!G83</f>
        <v/>
      </c>
      <c r="E83" s="2">
        <f>IF(ISNUMBER(Vendor1!G83), Vendor1!G83*$B$1, "-")</f>
        <v/>
      </c>
      <c r="F83" s="2">
        <f>Vendor1!H83</f>
        <v/>
      </c>
      <c r="G83" s="2">
        <f>Vendor1!C83</f>
        <v/>
      </c>
      <c r="H83" s="2">
        <f>Vendor2!G83</f>
        <v/>
      </c>
      <c r="I83" s="2">
        <f>IF(ISNUMBER(Vendor2!G83), Vendor2!G83*$B$1, "-")</f>
        <v/>
      </c>
      <c r="J83" s="2">
        <f>Vendor2!H83</f>
        <v/>
      </c>
      <c r="K83" s="2">
        <f>Vendor2!C83</f>
        <v/>
      </c>
      <c r="L83" s="2">
        <f>E83-I83</f>
        <v/>
      </c>
      <c r="M83" s="2">
        <f>G83-K83</f>
        <v/>
      </c>
    </row>
    <row r="84" hidden="1">
      <c r="A84" s="2">
        <f>Customer!A84</f>
        <v/>
      </c>
      <c r="B84" s="2">
        <f>Customer!B84</f>
        <v/>
      </c>
      <c r="C84" s="2">
        <f>IF(AND(Vendor1!E84=Customer!E84, Vendor2!E84=Customer!E84), "Match", "Error")</f>
        <v/>
      </c>
      <c r="D84" s="2">
        <f>Vendor1!G84</f>
        <v/>
      </c>
      <c r="E84" s="2">
        <f>IF(ISNUMBER(Vendor1!G84), Vendor1!G84*$B$1, "-")</f>
        <v/>
      </c>
      <c r="F84" s="2">
        <f>Vendor1!H84</f>
        <v/>
      </c>
      <c r="G84" s="2">
        <f>Vendor1!C84</f>
        <v/>
      </c>
      <c r="H84" s="2">
        <f>Vendor2!G84</f>
        <v/>
      </c>
      <c r="I84" s="2">
        <f>IF(ISNUMBER(Vendor2!G84), Vendor2!G84*$B$1, "-")</f>
        <v/>
      </c>
      <c r="J84" s="2">
        <f>Vendor2!H84</f>
        <v/>
      </c>
      <c r="K84" s="2">
        <f>Vendor2!C84</f>
        <v/>
      </c>
      <c r="L84" s="2">
        <f>E84-I84</f>
        <v/>
      </c>
      <c r="M84" s="2">
        <f>G84-K84</f>
        <v/>
      </c>
    </row>
    <row r="85" hidden="1">
      <c r="A85" s="2">
        <f>Customer!A85</f>
        <v/>
      </c>
      <c r="B85" s="2">
        <f>Customer!B85</f>
        <v/>
      </c>
      <c r="C85" s="2">
        <f>IF(AND(Vendor1!E85=Customer!E85, Vendor2!E85=Customer!E85), "Match", "Error")</f>
        <v/>
      </c>
      <c r="D85" s="2">
        <f>Vendor1!G85</f>
        <v/>
      </c>
      <c r="E85" s="2">
        <f>IF(ISNUMBER(Vendor1!G85), Vendor1!G85*$B$1, "-")</f>
        <v/>
      </c>
      <c r="F85" s="2">
        <f>Vendor1!H85</f>
        <v/>
      </c>
      <c r="G85" s="2">
        <f>Vendor1!C85</f>
        <v/>
      </c>
      <c r="H85" s="2">
        <f>Vendor2!G85</f>
        <v/>
      </c>
      <c r="I85" s="2">
        <f>IF(ISNUMBER(Vendor2!G85), Vendor2!G85*$B$1, "-")</f>
        <v/>
      </c>
      <c r="J85" s="2">
        <f>Vendor2!H85</f>
        <v/>
      </c>
      <c r="K85" s="2">
        <f>Vendor2!C85</f>
        <v/>
      </c>
      <c r="L85" s="2">
        <f>E85-I85</f>
        <v/>
      </c>
      <c r="M85" s="2">
        <f>G85-K85</f>
        <v/>
      </c>
    </row>
    <row r="86" hidden="1">
      <c r="A86" s="2">
        <f>Customer!A86</f>
        <v/>
      </c>
      <c r="B86" s="2">
        <f>Customer!B86</f>
        <v/>
      </c>
      <c r="C86" s="2">
        <f>IF(AND(Vendor1!E86=Customer!E86, Vendor2!E86=Customer!E86), "Match", "Error")</f>
        <v/>
      </c>
      <c r="D86" s="2">
        <f>Vendor1!G86</f>
        <v/>
      </c>
      <c r="E86" s="2">
        <f>IF(ISNUMBER(Vendor1!G86), Vendor1!G86*$B$1, "-")</f>
        <v/>
      </c>
      <c r="F86" s="2">
        <f>Vendor1!H86</f>
        <v/>
      </c>
      <c r="G86" s="2">
        <f>Vendor1!C86</f>
        <v/>
      </c>
      <c r="H86" s="2">
        <f>Vendor2!G86</f>
        <v/>
      </c>
      <c r="I86" s="2">
        <f>IF(ISNUMBER(Vendor2!G86), Vendor2!G86*$B$1, "-")</f>
        <v/>
      </c>
      <c r="J86" s="2">
        <f>Vendor2!H86</f>
        <v/>
      </c>
      <c r="K86" s="2">
        <f>Vendor2!C86</f>
        <v/>
      </c>
      <c r="L86" s="2">
        <f>E86-I86</f>
        <v/>
      </c>
      <c r="M86" s="2">
        <f>G86-K86</f>
        <v/>
      </c>
    </row>
    <row r="87" hidden="1">
      <c r="A87" s="2">
        <f>Customer!A87</f>
        <v/>
      </c>
      <c r="B87" s="2">
        <f>Customer!B87</f>
        <v/>
      </c>
      <c r="C87" s="2">
        <f>IF(AND(Vendor1!E87=Customer!E87, Vendor2!E87=Customer!E87), "Match", "Error")</f>
        <v/>
      </c>
      <c r="D87" s="2">
        <f>Vendor1!G87</f>
        <v/>
      </c>
      <c r="E87" s="2">
        <f>IF(ISNUMBER(Vendor1!G87), Vendor1!G87*$B$1, "-")</f>
        <v/>
      </c>
      <c r="F87" s="2">
        <f>Vendor1!H87</f>
        <v/>
      </c>
      <c r="G87" s="2">
        <f>Vendor1!C87</f>
        <v/>
      </c>
      <c r="H87" s="2">
        <f>Vendor2!G87</f>
        <v/>
      </c>
      <c r="I87" s="2">
        <f>IF(ISNUMBER(Vendor2!G87), Vendor2!G87*$B$1, "-")</f>
        <v/>
      </c>
      <c r="J87" s="2">
        <f>Vendor2!H87</f>
        <v/>
      </c>
      <c r="K87" s="2">
        <f>Vendor2!C87</f>
        <v/>
      </c>
      <c r="L87" s="2">
        <f>E87-I87</f>
        <v/>
      </c>
      <c r="M87" s="2">
        <f>G87-K87</f>
        <v/>
      </c>
    </row>
    <row r="88" hidden="1">
      <c r="A88" s="2">
        <f>Customer!A88</f>
        <v/>
      </c>
      <c r="B88" s="2">
        <f>Customer!B88</f>
        <v/>
      </c>
      <c r="C88" s="2">
        <f>IF(AND(Vendor1!E88=Customer!E88, Vendor2!E88=Customer!E88), "Match", "Error")</f>
        <v/>
      </c>
      <c r="D88" s="2">
        <f>Vendor1!G88</f>
        <v/>
      </c>
      <c r="E88" s="2">
        <f>IF(ISNUMBER(Vendor1!G88), Vendor1!G88*$B$1, "-")</f>
        <v/>
      </c>
      <c r="F88" s="2">
        <f>Vendor1!H88</f>
        <v/>
      </c>
      <c r="G88" s="2">
        <f>Vendor1!C88</f>
        <v/>
      </c>
      <c r="H88" s="2">
        <f>Vendor2!G88</f>
        <v/>
      </c>
      <c r="I88" s="2">
        <f>IF(ISNUMBER(Vendor2!G88), Vendor2!G88*$B$1, "-")</f>
        <v/>
      </c>
      <c r="J88" s="2">
        <f>Vendor2!H88</f>
        <v/>
      </c>
      <c r="K88" s="2">
        <f>Vendor2!C88</f>
        <v/>
      </c>
      <c r="L88" s="2">
        <f>E88-I88</f>
        <v/>
      </c>
      <c r="M88" s="2">
        <f>G88-K88</f>
        <v/>
      </c>
    </row>
    <row r="89" hidden="1">
      <c r="A89" s="2">
        <f>Customer!A89</f>
        <v/>
      </c>
      <c r="B89" s="2">
        <f>Customer!B89</f>
        <v/>
      </c>
      <c r="C89" s="2">
        <f>IF(AND(Vendor1!E89=Customer!E89, Vendor2!E89=Customer!E89), "Match", "Error")</f>
        <v/>
      </c>
      <c r="D89" s="2">
        <f>Vendor1!G89</f>
        <v/>
      </c>
      <c r="E89" s="2">
        <f>IF(ISNUMBER(Vendor1!G89), Vendor1!G89*$B$1, "-")</f>
        <v/>
      </c>
      <c r="F89" s="2">
        <f>Vendor1!H89</f>
        <v/>
      </c>
      <c r="G89" s="2">
        <f>Vendor1!C89</f>
        <v/>
      </c>
      <c r="H89" s="2">
        <f>Vendor2!G89</f>
        <v/>
      </c>
      <c r="I89" s="2">
        <f>IF(ISNUMBER(Vendor2!G89), Vendor2!G89*$B$1, "-")</f>
        <v/>
      </c>
      <c r="J89" s="2">
        <f>Vendor2!H89</f>
        <v/>
      </c>
      <c r="K89" s="2">
        <f>Vendor2!C89</f>
        <v/>
      </c>
      <c r="L89" s="2">
        <f>E89-I89</f>
        <v/>
      </c>
      <c r="M89" s="2">
        <f>G89-K89</f>
        <v/>
      </c>
    </row>
    <row r="90" hidden="1">
      <c r="A90" s="2">
        <f>Customer!A90</f>
        <v/>
      </c>
      <c r="B90" s="2">
        <f>Customer!B90</f>
        <v/>
      </c>
      <c r="C90" s="2">
        <f>IF(AND(Vendor1!E90=Customer!E90, Vendor2!E90=Customer!E90), "Match", "Error")</f>
        <v/>
      </c>
      <c r="D90" s="2">
        <f>Vendor1!G90</f>
        <v/>
      </c>
      <c r="E90" s="2">
        <f>IF(ISNUMBER(Vendor1!G90), Vendor1!G90*$B$1, "-")</f>
        <v/>
      </c>
      <c r="F90" s="2">
        <f>Vendor1!H90</f>
        <v/>
      </c>
      <c r="G90" s="2">
        <f>Vendor1!C90</f>
        <v/>
      </c>
      <c r="H90" s="2">
        <f>Vendor2!G90</f>
        <v/>
      </c>
      <c r="I90" s="2">
        <f>IF(ISNUMBER(Vendor2!G90), Vendor2!G90*$B$1, "-")</f>
        <v/>
      </c>
      <c r="J90" s="2">
        <f>Vendor2!H90</f>
        <v/>
      </c>
      <c r="K90" s="2">
        <f>Vendor2!C90</f>
        <v/>
      </c>
      <c r="L90" s="2">
        <f>E90-I90</f>
        <v/>
      </c>
      <c r="M90" s="2">
        <f>G90-K90</f>
        <v/>
      </c>
    </row>
    <row r="91" hidden="1">
      <c r="A91" s="2">
        <f>Customer!A91</f>
        <v/>
      </c>
      <c r="B91" s="2">
        <f>Customer!B91</f>
        <v/>
      </c>
      <c r="C91" s="2">
        <f>IF(AND(Vendor1!E91=Customer!E91, Vendor2!E91=Customer!E91), "Match", "Error")</f>
        <v/>
      </c>
      <c r="D91" s="2">
        <f>Vendor1!G91</f>
        <v/>
      </c>
      <c r="E91" s="2">
        <f>IF(ISNUMBER(Vendor1!G91), Vendor1!G91*$B$1, "-")</f>
        <v/>
      </c>
      <c r="F91" s="2">
        <f>Vendor1!H91</f>
        <v/>
      </c>
      <c r="G91" s="2">
        <f>Vendor1!C91</f>
        <v/>
      </c>
      <c r="H91" s="2">
        <f>Vendor2!G91</f>
        <v/>
      </c>
      <c r="I91" s="2">
        <f>IF(ISNUMBER(Vendor2!G91), Vendor2!G91*$B$1, "-")</f>
        <v/>
      </c>
      <c r="J91" s="2">
        <f>Vendor2!H91</f>
        <v/>
      </c>
      <c r="K91" s="2">
        <f>Vendor2!C91</f>
        <v/>
      </c>
      <c r="L91" s="2">
        <f>E91-I91</f>
        <v/>
      </c>
      <c r="M91" s="2">
        <f>G91-K91</f>
        <v/>
      </c>
    </row>
    <row r="92" hidden="1">
      <c r="A92" s="2">
        <f>Customer!A92</f>
        <v/>
      </c>
      <c r="B92" s="2">
        <f>Customer!B92</f>
        <v/>
      </c>
      <c r="C92" s="2">
        <f>IF(AND(Vendor1!E92=Customer!E92, Vendor2!E92=Customer!E92), "Match", "Error")</f>
        <v/>
      </c>
      <c r="D92" s="2">
        <f>Vendor1!G92</f>
        <v/>
      </c>
      <c r="E92" s="2">
        <f>IF(ISNUMBER(Vendor1!G92), Vendor1!G92*$B$1, "-")</f>
        <v/>
      </c>
      <c r="F92" s="2">
        <f>Vendor1!H92</f>
        <v/>
      </c>
      <c r="G92" s="2">
        <f>Vendor1!C92</f>
        <v/>
      </c>
      <c r="H92" s="2">
        <f>Vendor2!G92</f>
        <v/>
      </c>
      <c r="I92" s="2">
        <f>IF(ISNUMBER(Vendor2!G92), Vendor2!G92*$B$1, "-")</f>
        <v/>
      </c>
      <c r="J92" s="2">
        <f>Vendor2!H92</f>
        <v/>
      </c>
      <c r="K92" s="2">
        <f>Vendor2!C92</f>
        <v/>
      </c>
      <c r="L92" s="2">
        <f>E92-I92</f>
        <v/>
      </c>
      <c r="M92" s="2">
        <f>G92-K92</f>
        <v/>
      </c>
    </row>
    <row r="93" hidden="1">
      <c r="A93" s="2">
        <f>Customer!A93</f>
        <v/>
      </c>
      <c r="B93" s="2">
        <f>Customer!B93</f>
        <v/>
      </c>
      <c r="C93" s="2">
        <f>IF(AND(Vendor1!E93=Customer!E93, Vendor2!E93=Customer!E93), "Match", "Error")</f>
        <v/>
      </c>
      <c r="D93" s="2">
        <f>Vendor1!G93</f>
        <v/>
      </c>
      <c r="E93" s="2">
        <f>IF(ISNUMBER(Vendor1!G93), Vendor1!G93*$B$1, "-")</f>
        <v/>
      </c>
      <c r="F93" s="2">
        <f>Vendor1!H93</f>
        <v/>
      </c>
      <c r="G93" s="2">
        <f>Vendor1!C93</f>
        <v/>
      </c>
      <c r="H93" s="2">
        <f>Vendor2!G93</f>
        <v/>
      </c>
      <c r="I93" s="2">
        <f>IF(ISNUMBER(Vendor2!G93), Vendor2!G93*$B$1, "-")</f>
        <v/>
      </c>
      <c r="J93" s="2">
        <f>Vendor2!H93</f>
        <v/>
      </c>
      <c r="K93" s="2">
        <f>Vendor2!C93</f>
        <v/>
      </c>
      <c r="L93" s="2">
        <f>E93-I93</f>
        <v/>
      </c>
      <c r="M93" s="2">
        <f>G93-K93</f>
        <v/>
      </c>
    </row>
    <row r="94" hidden="1">
      <c r="A94" s="2">
        <f>Customer!A94</f>
        <v/>
      </c>
      <c r="B94" s="2">
        <f>Customer!B94</f>
        <v/>
      </c>
      <c r="C94" s="2">
        <f>IF(AND(Vendor1!E94=Customer!E94, Vendor2!E94=Customer!E94), "Match", "Error")</f>
        <v/>
      </c>
      <c r="D94" s="2">
        <f>Vendor1!G94</f>
        <v/>
      </c>
      <c r="E94" s="2">
        <f>IF(ISNUMBER(Vendor1!G94), Vendor1!G94*$B$1, "-")</f>
        <v/>
      </c>
      <c r="F94" s="2">
        <f>Vendor1!H94</f>
        <v/>
      </c>
      <c r="G94" s="2">
        <f>Vendor1!C94</f>
        <v/>
      </c>
      <c r="H94" s="2">
        <f>Vendor2!G94</f>
        <v/>
      </c>
      <c r="I94" s="2">
        <f>IF(ISNUMBER(Vendor2!G94), Vendor2!G94*$B$1, "-")</f>
        <v/>
      </c>
      <c r="J94" s="2">
        <f>Vendor2!H94</f>
        <v/>
      </c>
      <c r="K94" s="2">
        <f>Vendor2!C94</f>
        <v/>
      </c>
      <c r="L94" s="2">
        <f>E94-I94</f>
        <v/>
      </c>
      <c r="M94" s="2">
        <f>G94-K94</f>
        <v/>
      </c>
    </row>
    <row r="95" hidden="1">
      <c r="A95" s="2">
        <f>Customer!A95</f>
        <v/>
      </c>
      <c r="B95" s="2">
        <f>Customer!B95</f>
        <v/>
      </c>
      <c r="C95" s="2">
        <f>IF(AND(Vendor1!E95=Customer!E95, Vendor2!E95=Customer!E95), "Match", "Error")</f>
        <v/>
      </c>
      <c r="D95" s="2">
        <f>Vendor1!G95</f>
        <v/>
      </c>
      <c r="E95" s="2">
        <f>IF(ISNUMBER(Vendor1!G95), Vendor1!G95*$B$1, "-")</f>
        <v/>
      </c>
      <c r="F95" s="2">
        <f>Vendor1!H95</f>
        <v/>
      </c>
      <c r="G95" s="2">
        <f>Vendor1!C95</f>
        <v/>
      </c>
      <c r="H95" s="2">
        <f>Vendor2!G95</f>
        <v/>
      </c>
      <c r="I95" s="2">
        <f>IF(ISNUMBER(Vendor2!G95), Vendor2!G95*$B$1, "-")</f>
        <v/>
      </c>
      <c r="J95" s="2">
        <f>Vendor2!H95</f>
        <v/>
      </c>
      <c r="K95" s="2">
        <f>Vendor2!C95</f>
        <v/>
      </c>
      <c r="L95" s="2">
        <f>E95-I95</f>
        <v/>
      </c>
      <c r="M95" s="2">
        <f>G95-K95</f>
        <v/>
      </c>
    </row>
    <row r="96" hidden="1">
      <c r="A96" s="2">
        <f>Customer!A96</f>
        <v/>
      </c>
      <c r="B96" s="2">
        <f>Customer!B96</f>
        <v/>
      </c>
      <c r="C96" s="2">
        <f>IF(AND(Vendor1!E96=Customer!E96, Vendor2!E96=Customer!E96), "Match", "Error")</f>
        <v/>
      </c>
      <c r="D96" s="2">
        <f>Vendor1!G96</f>
        <v/>
      </c>
      <c r="E96" s="2">
        <f>IF(ISNUMBER(Vendor1!G96), Vendor1!G96*$B$1, "-")</f>
        <v/>
      </c>
      <c r="F96" s="2">
        <f>Vendor1!H96</f>
        <v/>
      </c>
      <c r="G96" s="2">
        <f>Vendor1!C96</f>
        <v/>
      </c>
      <c r="H96" s="2">
        <f>Vendor2!G96</f>
        <v/>
      </c>
      <c r="I96" s="2">
        <f>IF(ISNUMBER(Vendor2!G96), Vendor2!G96*$B$1, "-")</f>
        <v/>
      </c>
      <c r="J96" s="2">
        <f>Vendor2!H96</f>
        <v/>
      </c>
      <c r="K96" s="2">
        <f>Vendor2!C96</f>
        <v/>
      </c>
      <c r="L96" s="2">
        <f>E96-I96</f>
        <v/>
      </c>
      <c r="M96" s="2">
        <f>G96-K96</f>
        <v/>
      </c>
    </row>
    <row r="97" hidden="1">
      <c r="A97" s="2">
        <f>Customer!A97</f>
        <v/>
      </c>
      <c r="B97" s="2">
        <f>Customer!B97</f>
        <v/>
      </c>
      <c r="C97" s="2">
        <f>IF(AND(Vendor1!E97=Customer!E97, Vendor2!E97=Customer!E97), "Match", "Error")</f>
        <v/>
      </c>
      <c r="D97" s="2">
        <f>Vendor1!G97</f>
        <v/>
      </c>
      <c r="E97" s="2">
        <f>IF(ISNUMBER(Vendor1!G97), Vendor1!G97*$B$1, "-")</f>
        <v/>
      </c>
      <c r="F97" s="2">
        <f>Vendor1!H97</f>
        <v/>
      </c>
      <c r="G97" s="2">
        <f>Vendor1!C97</f>
        <v/>
      </c>
      <c r="H97" s="2">
        <f>Vendor2!G97</f>
        <v/>
      </c>
      <c r="I97" s="2">
        <f>IF(ISNUMBER(Vendor2!G97), Vendor2!G97*$B$1, "-")</f>
        <v/>
      </c>
      <c r="J97" s="2">
        <f>Vendor2!H97</f>
        <v/>
      </c>
      <c r="K97" s="2">
        <f>Vendor2!C97</f>
        <v/>
      </c>
      <c r="L97" s="2">
        <f>E97-I97</f>
        <v/>
      </c>
      <c r="M97" s="2">
        <f>G97-K97</f>
        <v/>
      </c>
    </row>
    <row r="98" hidden="1">
      <c r="A98" s="2">
        <f>Customer!A98</f>
        <v/>
      </c>
      <c r="B98" s="2">
        <f>Customer!B98</f>
        <v/>
      </c>
      <c r="C98" s="2">
        <f>IF(AND(Vendor1!E98=Customer!E98, Vendor2!E98=Customer!E98), "Match", "Error")</f>
        <v/>
      </c>
      <c r="D98" s="2">
        <f>Vendor1!G98</f>
        <v/>
      </c>
      <c r="E98" s="2">
        <f>IF(ISNUMBER(Vendor1!G98), Vendor1!G98*$B$1, "-")</f>
        <v/>
      </c>
      <c r="F98" s="2">
        <f>Vendor1!H98</f>
        <v/>
      </c>
      <c r="G98" s="2">
        <f>Vendor1!C98</f>
        <v/>
      </c>
      <c r="H98" s="2">
        <f>Vendor2!G98</f>
        <v/>
      </c>
      <c r="I98" s="2">
        <f>IF(ISNUMBER(Vendor2!G98), Vendor2!G98*$B$1, "-")</f>
        <v/>
      </c>
      <c r="J98" s="2">
        <f>Vendor2!H98</f>
        <v/>
      </c>
      <c r="K98" s="2">
        <f>Vendor2!C98</f>
        <v/>
      </c>
      <c r="L98" s="2">
        <f>E98-I98</f>
        <v/>
      </c>
      <c r="M98" s="2">
        <f>G98-K98</f>
        <v/>
      </c>
    </row>
    <row r="99" hidden="1">
      <c r="A99" s="2">
        <f>Customer!A99</f>
        <v/>
      </c>
      <c r="B99" s="2">
        <f>Customer!B99</f>
        <v/>
      </c>
      <c r="C99" s="2">
        <f>IF(AND(Vendor1!E99=Customer!E99, Vendor2!E99=Customer!E99), "Match", "Error")</f>
        <v/>
      </c>
      <c r="D99" s="2">
        <f>Vendor1!G99</f>
        <v/>
      </c>
      <c r="E99" s="2">
        <f>IF(ISNUMBER(Vendor1!G99), Vendor1!G99*$B$1, "-")</f>
        <v/>
      </c>
      <c r="F99" s="2">
        <f>Vendor1!H99</f>
        <v/>
      </c>
      <c r="G99" s="2">
        <f>Vendor1!C99</f>
        <v/>
      </c>
      <c r="H99" s="2">
        <f>Vendor2!G99</f>
        <v/>
      </c>
      <c r="I99" s="2">
        <f>IF(ISNUMBER(Vendor2!G99), Vendor2!G99*$B$1, "-")</f>
        <v/>
      </c>
      <c r="J99" s="2">
        <f>Vendor2!H99</f>
        <v/>
      </c>
      <c r="K99" s="2">
        <f>Vendor2!C99</f>
        <v/>
      </c>
      <c r="L99" s="2">
        <f>E99-I99</f>
        <v/>
      </c>
      <c r="M99" s="2">
        <f>G99-K99</f>
        <v/>
      </c>
    </row>
    <row r="100" hidden="1">
      <c r="A100" s="2">
        <f>Customer!A100</f>
        <v/>
      </c>
      <c r="B100" s="2">
        <f>Customer!B100</f>
        <v/>
      </c>
      <c r="C100" s="2">
        <f>IF(AND(Vendor1!E100=Customer!E100, Vendor2!E100=Customer!E100), "Match", "Error")</f>
        <v/>
      </c>
      <c r="D100" s="2">
        <f>Vendor1!G100</f>
        <v/>
      </c>
      <c r="E100" s="2">
        <f>IF(ISNUMBER(Vendor1!G100), Vendor1!G100*$B$1, "-")</f>
        <v/>
      </c>
      <c r="F100" s="2">
        <f>Vendor1!H100</f>
        <v/>
      </c>
      <c r="G100" s="2">
        <f>Vendor1!C100</f>
        <v/>
      </c>
      <c r="H100" s="2">
        <f>Vendor2!G100</f>
        <v/>
      </c>
      <c r="I100" s="2">
        <f>IF(ISNUMBER(Vendor2!G100), Vendor2!G100*$B$1, "-")</f>
        <v/>
      </c>
      <c r="J100" s="2">
        <f>Vendor2!H100</f>
        <v/>
      </c>
      <c r="K100" s="2">
        <f>Vendor2!C100</f>
        <v/>
      </c>
      <c r="L100" s="2">
        <f>E100-I100</f>
        <v/>
      </c>
      <c r="M100" s="2">
        <f>G100-K100</f>
        <v/>
      </c>
    </row>
    <row r="101" hidden="1">
      <c r="A101" s="2">
        <f>Customer!A101</f>
        <v/>
      </c>
      <c r="B101" s="2">
        <f>Customer!B101</f>
        <v/>
      </c>
      <c r="C101" s="2">
        <f>IF(AND(Vendor1!E101=Customer!E101, Vendor2!E101=Customer!E101), "Match", "Error")</f>
        <v/>
      </c>
      <c r="D101" s="2">
        <f>Vendor1!G101</f>
        <v/>
      </c>
      <c r="E101" s="2">
        <f>IF(ISNUMBER(Vendor1!G101), Vendor1!G101*$B$1, "-")</f>
        <v/>
      </c>
      <c r="F101" s="2">
        <f>Vendor1!H101</f>
        <v/>
      </c>
      <c r="G101" s="2">
        <f>Vendor1!C101</f>
        <v/>
      </c>
      <c r="H101" s="2">
        <f>Vendor2!G101</f>
        <v/>
      </c>
      <c r="I101" s="2">
        <f>IF(ISNUMBER(Vendor2!G101), Vendor2!G101*$B$1, "-")</f>
        <v/>
      </c>
      <c r="J101" s="2">
        <f>Vendor2!H101</f>
        <v/>
      </c>
      <c r="K101" s="2">
        <f>Vendor2!C101</f>
        <v/>
      </c>
      <c r="L101" s="2">
        <f>E101-I101</f>
        <v/>
      </c>
      <c r="M101" s="2">
        <f>G101-K101</f>
        <v/>
      </c>
    </row>
    <row r="102" hidden="1">
      <c r="A102" s="2">
        <f>Customer!A102</f>
        <v/>
      </c>
      <c r="B102" s="2">
        <f>Customer!B102</f>
        <v/>
      </c>
      <c r="C102" s="2">
        <f>IF(AND(Vendor1!E102=Customer!E102, Vendor2!E102=Customer!E102), "Match", "Error")</f>
        <v/>
      </c>
      <c r="D102" s="2">
        <f>Vendor1!G102</f>
        <v/>
      </c>
      <c r="E102" s="2">
        <f>IF(ISNUMBER(Vendor1!G102), Vendor1!G102*$B$1, "-")</f>
        <v/>
      </c>
      <c r="F102" s="2">
        <f>Vendor1!H102</f>
        <v/>
      </c>
      <c r="G102" s="2">
        <f>Vendor1!C102</f>
        <v/>
      </c>
      <c r="H102" s="2">
        <f>Vendor2!G102</f>
        <v/>
      </c>
      <c r="I102" s="2">
        <f>IF(ISNUMBER(Vendor2!G102), Vendor2!G102*$B$1, "-")</f>
        <v/>
      </c>
      <c r="J102" s="2">
        <f>Vendor2!H102</f>
        <v/>
      </c>
      <c r="K102" s="2">
        <f>Vendor2!C102</f>
        <v/>
      </c>
      <c r="L102" s="2">
        <f>E102-I102</f>
        <v/>
      </c>
      <c r="M102" s="2">
        <f>G102-K102</f>
        <v/>
      </c>
    </row>
    <row r="103" hidden="1">
      <c r="A103" s="2">
        <f>Customer!A103</f>
        <v/>
      </c>
      <c r="B103" s="2">
        <f>Customer!B103</f>
        <v/>
      </c>
      <c r="C103" s="2">
        <f>IF(AND(Vendor1!E103=Customer!E103, Vendor2!E103=Customer!E103), "Match", "Error")</f>
        <v/>
      </c>
      <c r="D103" s="2">
        <f>Vendor1!G103</f>
        <v/>
      </c>
      <c r="E103" s="2">
        <f>IF(ISNUMBER(Vendor1!G103), Vendor1!G103*$B$1, "-")</f>
        <v/>
      </c>
      <c r="F103" s="2">
        <f>Vendor1!H103</f>
        <v/>
      </c>
      <c r="G103" s="2">
        <f>Vendor1!C103</f>
        <v/>
      </c>
      <c r="H103" s="2">
        <f>Vendor2!G103</f>
        <v/>
      </c>
      <c r="I103" s="2">
        <f>IF(ISNUMBER(Vendor2!G103), Vendor2!G103*$B$1, "-")</f>
        <v/>
      </c>
      <c r="J103" s="2">
        <f>Vendor2!H103</f>
        <v/>
      </c>
      <c r="K103" s="2">
        <f>Vendor2!C103</f>
        <v/>
      </c>
      <c r="L103" s="2">
        <f>E103-I103</f>
        <v/>
      </c>
      <c r="M103" s="2">
        <f>G103-K103</f>
        <v/>
      </c>
    </row>
    <row r="104" hidden="1">
      <c r="A104" s="2">
        <f>Customer!A104</f>
        <v/>
      </c>
      <c r="B104" s="2">
        <f>Customer!B104</f>
        <v/>
      </c>
      <c r="C104" s="2">
        <f>IF(AND(Vendor1!E104=Customer!E104, Vendor2!E104=Customer!E104), "Match", "Error")</f>
        <v/>
      </c>
      <c r="D104" s="2">
        <f>Vendor1!G104</f>
        <v/>
      </c>
      <c r="E104" s="2">
        <f>IF(ISNUMBER(Vendor1!G104), Vendor1!G104*$B$1, "-")</f>
        <v/>
      </c>
      <c r="F104" s="2">
        <f>Vendor1!H104</f>
        <v/>
      </c>
      <c r="G104" s="2">
        <f>Vendor1!C104</f>
        <v/>
      </c>
      <c r="H104" s="2">
        <f>Vendor2!G104</f>
        <v/>
      </c>
      <c r="I104" s="2">
        <f>IF(ISNUMBER(Vendor2!G104), Vendor2!G104*$B$1, "-")</f>
        <v/>
      </c>
      <c r="J104" s="2">
        <f>Vendor2!H104</f>
        <v/>
      </c>
      <c r="K104" s="2">
        <f>Vendor2!C104</f>
        <v/>
      </c>
      <c r="L104" s="2">
        <f>E104-I104</f>
        <v/>
      </c>
      <c r="M104" s="2">
        <f>G104-K104</f>
        <v/>
      </c>
    </row>
    <row r="105" hidden="1">
      <c r="A105" s="2">
        <f>Customer!A105</f>
        <v/>
      </c>
      <c r="B105" s="2">
        <f>Customer!B105</f>
        <v/>
      </c>
      <c r="C105" s="2">
        <f>IF(AND(Vendor1!E105=Customer!E105, Vendor2!E105=Customer!E105), "Match", "Error")</f>
        <v/>
      </c>
      <c r="D105" s="2">
        <f>Vendor1!G105</f>
        <v/>
      </c>
      <c r="E105" s="2">
        <f>IF(ISNUMBER(Vendor1!G105), Vendor1!G105*$B$1, "-")</f>
        <v/>
      </c>
      <c r="F105" s="2">
        <f>Vendor1!H105</f>
        <v/>
      </c>
      <c r="G105" s="2">
        <f>Vendor1!C105</f>
        <v/>
      </c>
      <c r="H105" s="2">
        <f>Vendor2!G105</f>
        <v/>
      </c>
      <c r="I105" s="2">
        <f>IF(ISNUMBER(Vendor2!G105), Vendor2!G105*$B$1, "-")</f>
        <v/>
      </c>
      <c r="J105" s="2">
        <f>Vendor2!H105</f>
        <v/>
      </c>
      <c r="K105" s="2">
        <f>Vendor2!C105</f>
        <v/>
      </c>
      <c r="L105" s="2">
        <f>E105-I105</f>
        <v/>
      </c>
      <c r="M105" s="2">
        <f>G105-K105</f>
        <v/>
      </c>
    </row>
    <row r="106" hidden="1">
      <c r="A106" s="2">
        <f>Customer!A106</f>
        <v/>
      </c>
      <c r="B106" s="2">
        <f>Customer!B106</f>
        <v/>
      </c>
      <c r="C106" s="2">
        <f>IF(AND(Vendor1!E106=Customer!E106, Vendor2!E106=Customer!E106), "Match", "Error")</f>
        <v/>
      </c>
      <c r="D106" s="2">
        <f>Vendor1!G106</f>
        <v/>
      </c>
      <c r="E106" s="2">
        <f>IF(ISNUMBER(Vendor1!G106), Vendor1!G106*$B$1, "-")</f>
        <v/>
      </c>
      <c r="F106" s="2">
        <f>Vendor1!H106</f>
        <v/>
      </c>
      <c r="G106" s="2">
        <f>Vendor1!C106</f>
        <v/>
      </c>
      <c r="H106" s="2">
        <f>Vendor2!G106</f>
        <v/>
      </c>
      <c r="I106" s="2">
        <f>IF(ISNUMBER(Vendor2!G106), Vendor2!G106*$B$1, "-")</f>
        <v/>
      </c>
      <c r="J106" s="2">
        <f>Vendor2!H106</f>
        <v/>
      </c>
      <c r="K106" s="2">
        <f>Vendor2!C106</f>
        <v/>
      </c>
      <c r="L106" s="2">
        <f>E106-I106</f>
        <v/>
      </c>
      <c r="M106" s="2">
        <f>G106-K106</f>
        <v/>
      </c>
    </row>
    <row r="107" hidden="1">
      <c r="A107" s="2">
        <f>Customer!A107</f>
        <v/>
      </c>
      <c r="B107" s="2">
        <f>Customer!B107</f>
        <v/>
      </c>
      <c r="C107" s="2">
        <f>IF(AND(Vendor1!E107=Customer!E107, Vendor2!E107=Customer!E107), "Match", "Error")</f>
        <v/>
      </c>
      <c r="D107" s="2">
        <f>Vendor1!G107</f>
        <v/>
      </c>
      <c r="E107" s="2">
        <f>IF(ISNUMBER(Vendor1!G107), Vendor1!G107*$B$1, "-")</f>
        <v/>
      </c>
      <c r="F107" s="2">
        <f>Vendor1!H107</f>
        <v/>
      </c>
      <c r="G107" s="2">
        <f>Vendor1!C107</f>
        <v/>
      </c>
      <c r="H107" s="2">
        <f>Vendor2!G107</f>
        <v/>
      </c>
      <c r="I107" s="2">
        <f>IF(ISNUMBER(Vendor2!G107), Vendor2!G107*$B$1, "-")</f>
        <v/>
      </c>
      <c r="J107" s="2">
        <f>Vendor2!H107</f>
        <v/>
      </c>
      <c r="K107" s="2">
        <f>Vendor2!C107</f>
        <v/>
      </c>
      <c r="L107" s="2">
        <f>E107-I107</f>
        <v/>
      </c>
      <c r="M107" s="2">
        <f>G107-K107</f>
        <v/>
      </c>
    </row>
    <row r="108">
      <c r="A108" s="2" t="n"/>
      <c r="B108" s="2" t="n"/>
      <c r="C108" s="2" t="n"/>
      <c r="D108" s="2" t="n"/>
      <c r="E108" s="2" t="n"/>
      <c r="F108" s="2" t="n"/>
      <c r="G108" s="2" t="n"/>
      <c r="H108" s="2" t="n"/>
      <c r="I108" s="2" t="n"/>
      <c r="J108" s="2" t="n"/>
      <c r="K108" s="2" t="n"/>
      <c r="L108" s="2" t="n"/>
      <c r="M108" s="2" t="n"/>
    </row>
    <row r="109">
      <c r="A109" s="2" t="n"/>
      <c r="B109" s="2" t="inlineStr">
        <is>
          <t>SUBTOTAL (USD):</t>
        </is>
      </c>
      <c r="C109" s="2" t="n"/>
      <c r="D109" s="2" t="n"/>
      <c r="E109" s="2">
        <f>SUM(E5:E30)</f>
        <v/>
      </c>
      <c r="F109" s="2" t="n"/>
      <c r="G109" s="2" t="n"/>
      <c r="H109" s="2" t="n"/>
      <c r="I109" s="2">
        <f>SUM(I5:I30)</f>
        <v/>
      </c>
      <c r="J109" s="2" t="n"/>
      <c r="K109" s="2" t="n"/>
      <c r="L109" s="2">
        <f>SUM(L5:L30)</f>
        <v/>
      </c>
      <c r="M109" s="2" t="n"/>
    </row>
    <row r="110">
      <c r="A110" s="2" t="n"/>
      <c r="B110" s="2" t="inlineStr">
        <is>
          <t>TARIFF COST:</t>
        </is>
      </c>
      <c r="C110" s="2" t="n"/>
      <c r="D110" s="2" t="n"/>
      <c r="E110" s="2">
        <f>E109*$E$1</f>
        <v/>
      </c>
      <c r="F110" s="2" t="n"/>
      <c r="G110" s="2" t="n"/>
      <c r="H110" s="2" t="n"/>
      <c r="I110" s="2">
        <f>I109*$E$1</f>
        <v/>
      </c>
      <c r="J110" s="2" t="n"/>
      <c r="K110" s="2" t="n"/>
      <c r="L110" s="2">
        <f>L109*$E$1</f>
        <v/>
      </c>
      <c r="M110" s="2" t="n"/>
    </row>
    <row r="111">
      <c r="A111" s="2" t="n"/>
      <c r="B111" s="2" t="inlineStr">
        <is>
          <t>VAT COST:</t>
        </is>
      </c>
      <c r="C111" s="2" t="n"/>
      <c r="D111" s="2" t="n"/>
      <c r="E111" s="2">
        <f>(E109+E110)*$B$2</f>
        <v/>
      </c>
      <c r="F111" s="2" t="n"/>
      <c r="G111" s="2" t="n"/>
      <c r="H111" s="2" t="n"/>
      <c r="I111" s="2">
        <f>(I109+I110)*$B$2</f>
        <v/>
      </c>
      <c r="J111" s="2" t="n"/>
      <c r="K111" s="2" t="n"/>
      <c r="L111" s="2">
        <f>(L109+L110)*$B$2</f>
        <v/>
      </c>
      <c r="M111" s="2" t="n"/>
    </row>
    <row r="112">
      <c r="A112" s="6" t="n"/>
      <c r="B112" s="6" t="inlineStr">
        <is>
          <t>GRAND TOTAL (LOADED):</t>
        </is>
      </c>
      <c r="C112" s="6" t="n"/>
      <c r="D112" s="6" t="n"/>
      <c r="E112" s="6">
        <f>SUM(E109:E111)</f>
        <v/>
      </c>
      <c r="F112" s="6" t="n"/>
      <c r="G112" s="6" t="n"/>
      <c r="H112" s="6" t="n"/>
      <c r="I112" s="6">
        <f>SUM(I109:I111)</f>
        <v/>
      </c>
      <c r="J112" s="6" t="n"/>
      <c r="K112" s="6" t="n"/>
      <c r="L112" s="6">
        <f>SUM(L109:L111)</f>
        <v/>
      </c>
      <c r="M112" s="6" t="n"/>
    </row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</sheetData>
  <conditionalFormatting sqref="L5 L31 L57 L83">
    <cfRule type="cellIs" priority="2" operator="lessThan" dxfId="1" stopIfTrue="1">
      <formula>0</formula>
    </cfRule>
    <cfRule type="cellIs" priority="3" operator="greaterThan" dxfId="0" stopIfTrue="1">
      <formula>0</formula>
    </cfRule>
  </conditionalFormatting>
  <conditionalFormatting sqref="L6 L32 L58 L84">
    <cfRule type="cellIs" priority="4" operator="lessThan" dxfId="1" stopIfTrue="1">
      <formula>0</formula>
    </cfRule>
    <cfRule type="cellIs" priority="5" operator="greaterThan" dxfId="0" stopIfTrue="1">
      <formula>0</formula>
    </cfRule>
  </conditionalFormatting>
  <conditionalFormatting sqref="L7 L33 L59 L85">
    <cfRule type="cellIs" priority="6" operator="lessThan" dxfId="1" stopIfTrue="1">
      <formula>0</formula>
    </cfRule>
    <cfRule type="cellIs" priority="7" operator="greaterThan" dxfId="0" stopIfTrue="1">
      <formula>0</formula>
    </cfRule>
  </conditionalFormatting>
  <conditionalFormatting sqref="L8 L34 L60 L86">
    <cfRule type="cellIs" priority="8" operator="lessThan" dxfId="1" stopIfTrue="1">
      <formula>0</formula>
    </cfRule>
    <cfRule type="cellIs" priority="9" operator="greaterThan" dxfId="0" stopIfTrue="1">
      <formula>0</formula>
    </cfRule>
  </conditionalFormatting>
  <conditionalFormatting sqref="L9 L35 L61 L87">
    <cfRule type="cellIs" priority="10" operator="lessThan" dxfId="1" stopIfTrue="1">
      <formula>0</formula>
    </cfRule>
    <cfRule type="cellIs" priority="11" operator="greaterThan" dxfId="0" stopIfTrue="1">
      <formula>0</formula>
    </cfRule>
  </conditionalFormatting>
  <conditionalFormatting sqref="L10 L36 L62 L88">
    <cfRule type="cellIs" priority="12" operator="lessThan" dxfId="1" stopIfTrue="1">
      <formula>0</formula>
    </cfRule>
    <cfRule type="cellIs" priority="13" operator="greaterThan" dxfId="0" stopIfTrue="1">
      <formula>0</formula>
    </cfRule>
  </conditionalFormatting>
  <conditionalFormatting sqref="L11 L37 L63 L89">
    <cfRule type="cellIs" priority="14" operator="lessThan" dxfId="1" stopIfTrue="1">
      <formula>0</formula>
    </cfRule>
    <cfRule type="cellIs" priority="15" operator="greaterThan" dxfId="0" stopIfTrue="1">
      <formula>0</formula>
    </cfRule>
  </conditionalFormatting>
  <conditionalFormatting sqref="L12 L38 L64 L90">
    <cfRule type="cellIs" priority="16" operator="lessThan" dxfId="1" stopIfTrue="1">
      <formula>0</formula>
    </cfRule>
    <cfRule type="cellIs" priority="17" operator="greaterThan" dxfId="0" stopIfTrue="1">
      <formula>0</formula>
    </cfRule>
  </conditionalFormatting>
  <conditionalFormatting sqref="L13 L39 L65 L91">
    <cfRule type="cellIs" priority="18" operator="lessThan" dxfId="1" stopIfTrue="1">
      <formula>0</formula>
    </cfRule>
    <cfRule type="cellIs" priority="19" operator="greaterThan" dxfId="0" stopIfTrue="1">
      <formula>0</formula>
    </cfRule>
  </conditionalFormatting>
  <conditionalFormatting sqref="L14 L40 L66 L92">
    <cfRule type="cellIs" priority="20" operator="lessThan" dxfId="1" stopIfTrue="1">
      <formula>0</formula>
    </cfRule>
    <cfRule type="cellIs" priority="21" operator="greaterThan" dxfId="0" stopIfTrue="1">
      <formula>0</formula>
    </cfRule>
  </conditionalFormatting>
  <conditionalFormatting sqref="L15 L41 L67 L93">
    <cfRule type="cellIs" priority="22" operator="lessThan" dxfId="1" stopIfTrue="1">
      <formula>0</formula>
    </cfRule>
    <cfRule type="cellIs" priority="23" operator="greaterThan" dxfId="0" stopIfTrue="1">
      <formula>0</formula>
    </cfRule>
  </conditionalFormatting>
  <conditionalFormatting sqref="L16 L42 L68 L94">
    <cfRule type="cellIs" priority="24" operator="lessThan" dxfId="1" stopIfTrue="1">
      <formula>0</formula>
    </cfRule>
    <cfRule type="cellIs" priority="25" operator="greaterThan" dxfId="0" stopIfTrue="1">
      <formula>0</formula>
    </cfRule>
  </conditionalFormatting>
  <conditionalFormatting sqref="L17 L43 L69 L95">
    <cfRule type="cellIs" priority="26" operator="lessThan" dxfId="1" stopIfTrue="1">
      <formula>0</formula>
    </cfRule>
    <cfRule type="cellIs" priority="27" operator="greaterThan" dxfId="0" stopIfTrue="1">
      <formula>0</formula>
    </cfRule>
  </conditionalFormatting>
  <conditionalFormatting sqref="L18 L44 L70 L96">
    <cfRule type="cellIs" priority="28" operator="lessThan" dxfId="1" stopIfTrue="1">
      <formula>0</formula>
    </cfRule>
    <cfRule type="cellIs" priority="29" operator="greaterThan" dxfId="0" stopIfTrue="1">
      <formula>0</formula>
    </cfRule>
  </conditionalFormatting>
  <conditionalFormatting sqref="L19 L45 L71 L97">
    <cfRule type="cellIs" priority="30" operator="lessThan" dxfId="1" stopIfTrue="1">
      <formula>0</formula>
    </cfRule>
    <cfRule type="cellIs" priority="31" operator="greaterThan" dxfId="0" stopIfTrue="1">
      <formula>0</formula>
    </cfRule>
  </conditionalFormatting>
  <conditionalFormatting sqref="L20 L46 L72 L98">
    <cfRule type="cellIs" priority="32" operator="lessThan" dxfId="1" stopIfTrue="1">
      <formula>0</formula>
    </cfRule>
    <cfRule type="cellIs" priority="33" operator="greaterThan" dxfId="0" stopIfTrue="1">
      <formula>0</formula>
    </cfRule>
  </conditionalFormatting>
  <conditionalFormatting sqref="L21 L47 L73 L99">
    <cfRule type="cellIs" priority="34" operator="lessThan" dxfId="1" stopIfTrue="1">
      <formula>0</formula>
    </cfRule>
    <cfRule type="cellIs" priority="35" operator="greaterThan" dxfId="0" stopIfTrue="1">
      <formula>0</formula>
    </cfRule>
  </conditionalFormatting>
  <conditionalFormatting sqref="L22 L48 L74 L100">
    <cfRule type="cellIs" priority="36" operator="lessThan" dxfId="1" stopIfTrue="1">
      <formula>0</formula>
    </cfRule>
    <cfRule type="cellIs" priority="37" operator="greaterThan" dxfId="0" stopIfTrue="1">
      <formula>0</formula>
    </cfRule>
  </conditionalFormatting>
  <conditionalFormatting sqref="L23 L49 L75 L101">
    <cfRule type="cellIs" priority="38" operator="lessThan" dxfId="1" stopIfTrue="1">
      <formula>0</formula>
    </cfRule>
    <cfRule type="cellIs" priority="39" operator="greaterThan" dxfId="0" stopIfTrue="1">
      <formula>0</formula>
    </cfRule>
  </conditionalFormatting>
  <conditionalFormatting sqref="L24 L50 L76 L102">
    <cfRule type="cellIs" priority="40" operator="lessThan" dxfId="1" stopIfTrue="1">
      <formula>0</formula>
    </cfRule>
    <cfRule type="cellIs" priority="41" operator="greaterThan" dxfId="0" stopIfTrue="1">
      <formula>0</formula>
    </cfRule>
  </conditionalFormatting>
  <conditionalFormatting sqref="L25 L51 L77 L103">
    <cfRule type="cellIs" priority="42" operator="lessThan" dxfId="1" stopIfTrue="1">
      <formula>0</formula>
    </cfRule>
    <cfRule type="cellIs" priority="43" operator="greaterThan" dxfId="0" stopIfTrue="1">
      <formula>0</formula>
    </cfRule>
  </conditionalFormatting>
  <conditionalFormatting sqref="L26 L52 L78 L104">
    <cfRule type="cellIs" priority="44" operator="lessThan" dxfId="1" stopIfTrue="1">
      <formula>0</formula>
    </cfRule>
    <cfRule type="cellIs" priority="45" operator="greaterThan" dxfId="0" stopIfTrue="1">
      <formula>0</formula>
    </cfRule>
  </conditionalFormatting>
  <conditionalFormatting sqref="L27 L53 L79 L105">
    <cfRule type="cellIs" priority="46" operator="lessThan" dxfId="1" stopIfTrue="1">
      <formula>0</formula>
    </cfRule>
    <cfRule type="cellIs" priority="47" operator="greaterThan" dxfId="0" stopIfTrue="1">
      <formula>0</formula>
    </cfRule>
  </conditionalFormatting>
  <conditionalFormatting sqref="L28 L54 L80 L106">
    <cfRule type="cellIs" priority="48" operator="lessThan" dxfId="1" stopIfTrue="1">
      <formula>0</formula>
    </cfRule>
    <cfRule type="cellIs" priority="49" operator="greaterThan" dxfId="0" stopIfTrue="1">
      <formula>0</formula>
    </cfRule>
  </conditionalFormatting>
  <conditionalFormatting sqref="L29 L55 L81 L107">
    <cfRule type="cellIs" priority="50" operator="lessThan" dxfId="1" stopIfTrue="1">
      <formula>0</formula>
    </cfRule>
    <cfRule type="cellIs" priority="51" operator="greaterThan" dxfId="0" stopIfTrue="1">
      <formula>0</formula>
    </cfRule>
  </conditionalFormatting>
  <conditionalFormatting sqref="L30 L56 L82">
    <cfRule type="cellIs" priority="52" operator="lessThan" dxfId="1" stopIfTrue="1">
      <formula>0</formula>
    </cfRule>
    <cfRule type="cellIs" priority="53" operator="greaterThan" dxfId="0" stopIfTrue="1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Khanal, Manogya</dc:creator>
  <dcterms:created xsi:type="dcterms:W3CDTF">2026-03-13T18:39:22Z</dcterms:created>
  <dcterms:modified xsi:type="dcterms:W3CDTF">2026-03-19T14:52:02Z</dcterms:modified>
  <cp:lastModifiedBy>Khanal, Manogya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0x010100C092938DF487E9428C09EEA34B0587BC</vt:lpwstr>
  </property>
  <property name="MediaServiceImageTags" fmtid="{D5CDD505-2E9C-101B-9397-08002B2CF9AE}" pid="3">
    <vt:lpwstr/>
  </property>
</Properties>
</file>